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data analysis\projects\3\"/>
    </mc:Choice>
  </mc:AlternateContent>
  <xr:revisionPtr revIDLastSave="0" documentId="13_ncr:1_{7BB53E92-1CD0-43D9-B2B9-41B931E255D1}" xr6:coauthVersionLast="47" xr6:coauthVersionMax="47" xr10:uidLastSave="{00000000-0000-0000-0000-000000000000}"/>
  <bookViews>
    <workbookView xWindow="-108" yWindow="-108" windowWidth="23256" windowHeight="12576" tabRatio="845" activeTab="5" xr2:uid="{68891DF9-DC9B-42CB-AFA5-6920A25C688A}"/>
  </bookViews>
  <sheets>
    <sheet name="Sheet1" sheetId="1" r:id="rId1"/>
    <sheet name="sales per month" sheetId="2" r:id="rId2"/>
    <sheet name="customer per month" sheetId="3" r:id="rId3"/>
    <sheet name="profit per region" sheetId="4" r:id="rId4"/>
    <sheet name="Profit per quarter" sheetId="5" r:id="rId5"/>
    <sheet name="dashboard 1" sheetId="8" r:id="rId6"/>
    <sheet name="Dashboard" sheetId="6" state="hidden" r:id="rId7"/>
  </sheets>
  <definedNames>
    <definedName name="_xlcn.WorksheetConnection_sales.xlsxTable11" hidden="1">Table1[]</definedName>
    <definedName name="Slicer_Month__Month">#N/A</definedName>
    <definedName name="Slicer_Region">#N/A</definedName>
    <definedName name="Timeline_Month1">#N/A</definedName>
  </definedNames>
  <calcPr calcId="19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xlsx!Table1"/>
        </x15:modelTables>
        <x15:extLst>
          <ext xmlns:x16="http://schemas.microsoft.com/office/spreadsheetml/2014/11/main" uri="{9835A34E-60A6-4A7C-AAB8-D5F71C897F49}">
            <x16:modelTimeGroupings>
              <x16:modelTimeGrouping tableName="Table1"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1" l="1"/>
  <c r="K17" i="1"/>
  <c r="K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FDB3B9-A9EF-48ED-8FAE-E799E6AA85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0AE2E44-276E-418E-8BEA-9478B1C626F8}" name="WorksheetConnection_sales.xlsx!Table1" type="102" refreshedVersion="8" minRefreshableVersion="5">
    <extLst>
      <ext xmlns:x15="http://schemas.microsoft.com/office/spreadsheetml/2010/11/main" uri="{DE250136-89BD-433C-8126-D09CA5730AF9}">
        <x15:connection id="Table1" autoDelete="1">
          <x15:rangePr sourceName="_xlcn.WorksheetConnection_sales.xlsxTable11"/>
        </x15:connection>
      </ext>
    </extLst>
  </connection>
</connections>
</file>

<file path=xl/sharedStrings.xml><?xml version="1.0" encoding="utf-8"?>
<sst xmlns="http://schemas.openxmlformats.org/spreadsheetml/2006/main" count="177" uniqueCount="38">
  <si>
    <t>Argentina</t>
  </si>
  <si>
    <t>Quarter 1</t>
  </si>
  <si>
    <t>Brazil</t>
  </si>
  <si>
    <t>Chicaco</t>
  </si>
  <si>
    <t>Chile</t>
  </si>
  <si>
    <t>Columbia</t>
  </si>
  <si>
    <t>Los Angeles</t>
  </si>
  <si>
    <t>Peru</t>
  </si>
  <si>
    <t>Quarter 2</t>
  </si>
  <si>
    <t>Quarter 3</t>
  </si>
  <si>
    <t>Month</t>
  </si>
  <si>
    <t>Region</t>
  </si>
  <si>
    <t>Sales</t>
  </si>
  <si>
    <t>Profit</t>
  </si>
  <si>
    <t>Target Sales</t>
  </si>
  <si>
    <t>Customers</t>
  </si>
  <si>
    <t>Quarter</t>
  </si>
  <si>
    <t>Sales Completion Rate</t>
  </si>
  <si>
    <t>Profit Completion Rate</t>
  </si>
  <si>
    <t>Customer Completion Rate</t>
  </si>
  <si>
    <t>Sum of Sales</t>
  </si>
  <si>
    <t>Row Labels</t>
  </si>
  <si>
    <t>Grand Total</t>
  </si>
  <si>
    <t>Jan</t>
  </si>
  <si>
    <t>Feb</t>
  </si>
  <si>
    <t>Mar</t>
  </si>
  <si>
    <t>Apr</t>
  </si>
  <si>
    <t>May</t>
  </si>
  <si>
    <t>Jun</t>
  </si>
  <si>
    <t>Jul</t>
  </si>
  <si>
    <t>Aug</t>
  </si>
  <si>
    <t>Sep</t>
  </si>
  <si>
    <t>Sum of Customers</t>
  </si>
  <si>
    <t>Sum of Profit</t>
  </si>
  <si>
    <t xml:space="preserve">Total sales </t>
  </si>
  <si>
    <t>Column1</t>
  </si>
  <si>
    <t>Total Profit</t>
  </si>
  <si>
    <t>number of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</si>
</sst>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_-* #,##0_-;\-* #,##0_-;_-* &quot;-&quot;??_-;_-@"/>
    <numFmt numFmtId="165" formatCode="&quot;$&quot;#,##0"/>
    <numFmt numFmtId="166" formatCode="_([$$-409]* #,##0.00_);_([$$-409]* \(#,##0.00\);_([$$-409]* &quot;-&quot;??_);_(@_)"/>
  </numFmts>
  <fonts count="4" x14ac:knownFonts="1">
    <font>
      <sz val="11"/>
      <color theme="1"/>
      <name val="Aptos Narrow"/>
      <family val="2"/>
      <scheme val="minor"/>
    </font>
    <font>
      <sz val="12"/>
      <color theme="1"/>
      <name val="Aptos Narrow"/>
      <scheme val="minor"/>
    </font>
    <font>
      <sz val="12"/>
      <color theme="1"/>
      <name val="Calibri"/>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44" fontId="3" fillId="0" borderId="0" applyFont="0" applyFill="0" applyBorder="0" applyAlignment="0" applyProtection="0"/>
  </cellStyleXfs>
  <cellXfs count="10">
    <xf numFmtId="0" fontId="0" fillId="0" borderId="0" xfId="0"/>
    <xf numFmtId="0" fontId="1" fillId="0" borderId="0" xfId="1"/>
    <xf numFmtId="17" fontId="2" fillId="0" borderId="0" xfId="1" applyNumberFormat="1" applyFont="1"/>
    <xf numFmtId="164" fontId="2" fillId="0" borderId="0" xfId="1" applyNumberFormat="1" applyFont="1"/>
    <xf numFmtId="9" fontId="2" fillId="0" borderId="0" xfId="1" applyNumberFormat="1" applyFont="1"/>
    <xf numFmtId="0" fontId="0" fillId="0" borderId="0" xfId="0" pivotButton="1"/>
    <xf numFmtId="0" fontId="0" fillId="0" borderId="0" xfId="0" applyAlignment="1">
      <alignment horizontal="left"/>
    </xf>
    <xf numFmtId="1" fontId="2" fillId="0" borderId="0" xfId="1" applyNumberFormat="1" applyFont="1"/>
    <xf numFmtId="165" fontId="2" fillId="0" borderId="0" xfId="2" applyNumberFormat="1" applyFont="1" applyFill="1"/>
    <xf numFmtId="166" fontId="2" fillId="0" borderId="0" xfId="1" applyNumberFormat="1" applyFont="1"/>
  </cellXfs>
  <cellStyles count="3">
    <cellStyle name="Currency" xfId="2" builtinId="4"/>
    <cellStyle name="Normal" xfId="0" builtinId="0"/>
    <cellStyle name="Normal 2" xfId="1" xr:uid="{8954D45E-DEAA-44E4-8EAA-614803F67803}"/>
  </cellStyles>
  <dxfs count="11">
    <dxf>
      <font>
        <b val="0"/>
        <i val="0"/>
        <strike val="0"/>
        <condense val="0"/>
        <extend val="0"/>
        <outline val="0"/>
        <shadow val="0"/>
        <u val="none"/>
        <vertAlign val="baseline"/>
        <sz val="12"/>
        <color theme="1"/>
        <name val="Calibri"/>
        <scheme val="none"/>
      </font>
      <numFmt numFmtId="13" formatCode="0%"/>
    </dxf>
    <dxf>
      <font>
        <b val="0"/>
        <i val="0"/>
        <strike val="0"/>
        <condense val="0"/>
        <extend val="0"/>
        <outline val="0"/>
        <shadow val="0"/>
        <u val="none"/>
        <vertAlign val="baseline"/>
        <sz val="12"/>
        <color theme="1"/>
        <name val="Calibri"/>
        <scheme val="none"/>
      </font>
      <numFmt numFmtId="13" formatCode="0%"/>
    </dxf>
    <dxf>
      <font>
        <b val="0"/>
        <i val="0"/>
        <strike val="0"/>
        <condense val="0"/>
        <extend val="0"/>
        <outline val="0"/>
        <shadow val="0"/>
        <u val="none"/>
        <vertAlign val="baseline"/>
        <sz val="12"/>
        <color theme="1"/>
        <name val="Calibri"/>
        <scheme val="none"/>
      </font>
      <numFmt numFmtId="13" formatCode="0%"/>
    </dxf>
    <dxf>
      <font>
        <b val="0"/>
        <i val="0"/>
        <strike val="0"/>
        <condense val="0"/>
        <extend val="0"/>
        <outline val="0"/>
        <shadow val="0"/>
        <u val="none"/>
        <vertAlign val="baseline"/>
        <sz val="12"/>
        <color theme="1"/>
        <name val="Calibri"/>
        <scheme val="none"/>
      </font>
      <numFmt numFmtId="13" formatCode="0%"/>
    </dxf>
    <dxf>
      <font>
        <b val="0"/>
        <i val="0"/>
        <strike val="0"/>
        <condense val="0"/>
        <extend val="0"/>
        <outline val="0"/>
        <shadow val="0"/>
        <u val="none"/>
        <vertAlign val="baseline"/>
        <sz val="12"/>
        <color theme="1"/>
        <name val="Calibri"/>
        <scheme val="none"/>
      </font>
      <numFmt numFmtId="164" formatCode="_-* #,##0_-;\-* #,##0_-;_-* &quot;-&quot;??_-;_-@"/>
    </dxf>
    <dxf>
      <font>
        <b val="0"/>
        <i val="0"/>
        <strike val="0"/>
        <condense val="0"/>
        <extend val="0"/>
        <outline val="0"/>
        <shadow val="0"/>
        <u val="none"/>
        <vertAlign val="baseline"/>
        <sz val="12"/>
        <color theme="1"/>
        <name val="Calibri"/>
        <scheme val="none"/>
      </font>
      <numFmt numFmtId="164" formatCode="_-* #,##0_-;\-* #,##0_-;_-* &quot;-&quot;??_-;_-@"/>
    </dxf>
    <dxf>
      <font>
        <b val="0"/>
        <i val="0"/>
        <strike val="0"/>
        <condense val="0"/>
        <extend val="0"/>
        <outline val="0"/>
        <shadow val="0"/>
        <u val="none"/>
        <vertAlign val="baseline"/>
        <sz val="12"/>
        <color theme="1"/>
        <name val="Calibri"/>
        <scheme val="none"/>
      </font>
      <numFmt numFmtId="22" formatCode="mmm\-yy"/>
    </dxf>
    <dxf>
      <font>
        <b val="0"/>
        <i val="0"/>
        <strike val="0"/>
        <condense val="0"/>
        <extend val="0"/>
        <outline val="0"/>
        <shadow val="0"/>
        <u val="none"/>
        <vertAlign val="baseline"/>
        <sz val="12"/>
        <color theme="1"/>
        <name val="Calibri"/>
        <scheme val="none"/>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defaultTableStyle="TableStyleMedium2" defaultPivotStyle="PivotStyleLight16">
    <tableStyle name="Data-style" pivot="0" count="3" xr9:uid="{809B36E7-C91A-4170-883F-760B4746A13D}">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per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month</a:t>
            </a:r>
            <a:endParaRPr lang="en-US"/>
          </a:p>
        </c:rich>
      </c:tx>
      <c:layout>
        <c:manualLayout>
          <c:xMode val="edge"/>
          <c:yMode val="edge"/>
          <c:x val="0.17718744531933509"/>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month'!$B$1</c:f>
              <c:strCache>
                <c:ptCount val="1"/>
                <c:pt idx="0">
                  <c:v>Total</c:v>
                </c:pt>
              </c:strCache>
            </c:strRef>
          </c:tx>
          <c:spPr>
            <a:solidFill>
              <a:schemeClr val="accent1"/>
            </a:solidFill>
            <a:ln>
              <a:noFill/>
            </a:ln>
            <a:effectLst/>
          </c:spPr>
          <c:invertIfNegative val="0"/>
          <c:cat>
            <c:strRef>
              <c:f>'sales per month'!$A$2:$A$11</c:f>
              <c:strCache>
                <c:ptCount val="9"/>
                <c:pt idx="0">
                  <c:v>Jan</c:v>
                </c:pt>
                <c:pt idx="1">
                  <c:v>Feb</c:v>
                </c:pt>
                <c:pt idx="2">
                  <c:v>Mar</c:v>
                </c:pt>
                <c:pt idx="3">
                  <c:v>Apr</c:v>
                </c:pt>
                <c:pt idx="4">
                  <c:v>May</c:v>
                </c:pt>
                <c:pt idx="5">
                  <c:v>Jun</c:v>
                </c:pt>
                <c:pt idx="6">
                  <c:v>Jul</c:v>
                </c:pt>
                <c:pt idx="7">
                  <c:v>Aug</c:v>
                </c:pt>
                <c:pt idx="8">
                  <c:v>Sep</c:v>
                </c:pt>
              </c:strCache>
            </c:strRef>
          </c:cat>
          <c:val>
            <c:numRef>
              <c:f>'sales per month'!$B$2:$B$11</c:f>
              <c:numCache>
                <c:formatCode>General</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92CF-48DA-B234-2F8B89B4A0C1}"/>
            </c:ext>
          </c:extLst>
        </c:ser>
        <c:dLbls>
          <c:showLegendKey val="0"/>
          <c:showVal val="0"/>
          <c:showCatName val="0"/>
          <c:showSerName val="0"/>
          <c:showPercent val="0"/>
          <c:showBubbleSize val="0"/>
        </c:dLbls>
        <c:gapWidth val="219"/>
        <c:overlap val="-27"/>
        <c:axId val="1495858112"/>
        <c:axId val="1495859072"/>
      </c:barChart>
      <c:catAx>
        <c:axId val="14958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59072"/>
        <c:crosses val="autoZero"/>
        <c:auto val="1"/>
        <c:lblAlgn val="ctr"/>
        <c:lblOffset val="100"/>
        <c:noMultiLvlLbl val="0"/>
      </c:catAx>
      <c:valAx>
        <c:axId val="149585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per month!PivotTable2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per month</a:t>
            </a:r>
          </a:p>
          <a:p>
            <a:pPr>
              <a:defRPr/>
            </a:pPr>
            <a:endParaRPr lang="en-US"/>
          </a:p>
        </c:rich>
      </c:tx>
      <c:layout>
        <c:manualLayout>
          <c:xMode val="edge"/>
          <c:yMode val="edge"/>
          <c:x val="0.7412923960961190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'customer per month'!$B$2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per month'!$A$3:$A$12</c:f>
              <c:strCache>
                <c:ptCount val="9"/>
                <c:pt idx="0">
                  <c:v>Jan</c:v>
                </c:pt>
                <c:pt idx="1">
                  <c:v>Feb</c:v>
                </c:pt>
                <c:pt idx="2">
                  <c:v>Mar</c:v>
                </c:pt>
                <c:pt idx="3">
                  <c:v>Apr</c:v>
                </c:pt>
                <c:pt idx="4">
                  <c:v>May</c:v>
                </c:pt>
                <c:pt idx="5">
                  <c:v>Jun</c:v>
                </c:pt>
                <c:pt idx="6">
                  <c:v>Jul</c:v>
                </c:pt>
                <c:pt idx="7">
                  <c:v>Aug</c:v>
                </c:pt>
                <c:pt idx="8">
                  <c:v>Sep</c:v>
                </c:pt>
              </c:strCache>
            </c:strRef>
          </c:cat>
          <c:val>
            <c:numRef>
              <c:f>'customer per month'!$B$3:$B$12</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2BF0-4F95-B79A-A6198A99433C}"/>
            </c:ext>
          </c:extLst>
        </c:ser>
        <c:dLbls>
          <c:showLegendKey val="0"/>
          <c:showVal val="0"/>
          <c:showCatName val="0"/>
          <c:showSerName val="0"/>
          <c:showPercent val="0"/>
          <c:showBubbleSize val="0"/>
        </c:dLbls>
        <c:marker val="1"/>
        <c:smooth val="0"/>
        <c:axId val="780342432"/>
        <c:axId val="782825040"/>
      </c:lineChart>
      <c:catAx>
        <c:axId val="78034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25040"/>
        <c:crosses val="autoZero"/>
        <c:auto val="1"/>
        <c:lblAlgn val="ctr"/>
        <c:lblOffset val="100"/>
        <c:noMultiLvlLbl val="0"/>
      </c:catAx>
      <c:valAx>
        <c:axId val="78282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4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per region!PivotTable3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per region</a:t>
            </a:r>
          </a:p>
        </c:rich>
      </c:tx>
      <c:layout>
        <c:manualLayout>
          <c:xMode val="edge"/>
          <c:yMode val="edge"/>
          <c:x val="0.6560069991251094"/>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per region'!$B$2</c:f>
              <c:strCache>
                <c:ptCount val="1"/>
                <c:pt idx="0">
                  <c:v>Total</c:v>
                </c:pt>
              </c:strCache>
            </c:strRef>
          </c:tx>
          <c:spPr>
            <a:solidFill>
              <a:schemeClr val="accent1"/>
            </a:solidFill>
            <a:ln>
              <a:noFill/>
            </a:ln>
            <a:effectLst/>
          </c:spPr>
          <c:invertIfNegative val="0"/>
          <c:cat>
            <c:strRef>
              <c:f>'profit per region'!$A$3:$A$7</c:f>
              <c:strCache>
                <c:ptCount val="4"/>
                <c:pt idx="0">
                  <c:v>Brazil</c:v>
                </c:pt>
                <c:pt idx="1">
                  <c:v>Chicaco</c:v>
                </c:pt>
                <c:pt idx="2">
                  <c:v>Chile</c:v>
                </c:pt>
                <c:pt idx="3">
                  <c:v>Columbia</c:v>
                </c:pt>
              </c:strCache>
            </c:strRef>
          </c:cat>
          <c:val>
            <c:numRef>
              <c:f>'profit per region'!$B$3:$B$7</c:f>
              <c:numCache>
                <c:formatCode>General</c:formatCode>
                <c:ptCount val="4"/>
                <c:pt idx="0">
                  <c:v>129875</c:v>
                </c:pt>
                <c:pt idx="1">
                  <c:v>126793</c:v>
                </c:pt>
                <c:pt idx="2">
                  <c:v>128833</c:v>
                </c:pt>
                <c:pt idx="3">
                  <c:v>125980</c:v>
                </c:pt>
              </c:numCache>
            </c:numRef>
          </c:val>
          <c:extLst>
            <c:ext xmlns:c16="http://schemas.microsoft.com/office/drawing/2014/chart" uri="{C3380CC4-5D6E-409C-BE32-E72D297353CC}">
              <c16:uniqueId val="{00000000-C342-47B0-8634-2928B526EDAF}"/>
            </c:ext>
          </c:extLst>
        </c:ser>
        <c:dLbls>
          <c:showLegendKey val="0"/>
          <c:showVal val="0"/>
          <c:showCatName val="0"/>
          <c:showSerName val="0"/>
          <c:showPercent val="0"/>
          <c:showBubbleSize val="0"/>
        </c:dLbls>
        <c:gapWidth val="182"/>
        <c:axId val="870376160"/>
        <c:axId val="870372320"/>
      </c:barChart>
      <c:catAx>
        <c:axId val="87037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372320"/>
        <c:crosses val="autoZero"/>
        <c:auto val="1"/>
        <c:lblAlgn val="ctr"/>
        <c:lblOffset val="100"/>
        <c:noMultiLvlLbl val="0"/>
      </c:catAx>
      <c:valAx>
        <c:axId val="870372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37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per quarter!PivotTable4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quarter</a:t>
            </a:r>
          </a:p>
        </c:rich>
      </c:tx>
      <c:layout>
        <c:manualLayout>
          <c:xMode val="edge"/>
          <c:yMode val="edge"/>
          <c:x val="0.73460578842315372"/>
          <c:y val="3.4839395075615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150553224260142"/>
          <c:y val="9.4720347456567905E-2"/>
          <c:w val="0.53176265579078064"/>
          <c:h val="0.84575584301962259"/>
        </c:manualLayout>
      </c:layout>
      <c:doughnutChart>
        <c:varyColors val="1"/>
        <c:ser>
          <c:idx val="0"/>
          <c:order val="0"/>
          <c:tx>
            <c:strRef>
              <c:f>'Profit per quarter'!$B$1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6B-4F06-B5A5-A1EF0601D2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6B-4F06-B5A5-A1EF0601D2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6B-4F06-B5A5-A1EF0601D23F}"/>
              </c:ext>
            </c:extLst>
          </c:dPt>
          <c:cat>
            <c:strRef>
              <c:f>'Profit per quarter'!$A$2:$A$5</c:f>
              <c:strCache>
                <c:ptCount val="3"/>
                <c:pt idx="0">
                  <c:v>Quarter 1</c:v>
                </c:pt>
                <c:pt idx="1">
                  <c:v>Quarter 2</c:v>
                </c:pt>
                <c:pt idx="2">
                  <c:v>Quarter 3</c:v>
                </c:pt>
              </c:strCache>
            </c:strRef>
          </c:cat>
          <c:val>
            <c:numRef>
              <c:f>'Profit per quarter'!$B$2:$B$5</c:f>
              <c:numCache>
                <c:formatCode>General</c:formatCode>
                <c:ptCount val="3"/>
                <c:pt idx="0">
                  <c:v>84397</c:v>
                </c:pt>
                <c:pt idx="1">
                  <c:v>296214</c:v>
                </c:pt>
                <c:pt idx="2">
                  <c:v>510500</c:v>
                </c:pt>
              </c:numCache>
            </c:numRef>
          </c:val>
          <c:extLst>
            <c:ext xmlns:c16="http://schemas.microsoft.com/office/drawing/2014/chart" uri="{C3380CC4-5D6E-409C-BE32-E72D297353CC}">
              <c16:uniqueId val="{00000000-AC0A-4B2E-9482-CE9BBFB150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per month!PivotTable1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month</a:t>
            </a:r>
            <a:endParaRPr lang="en-US"/>
          </a:p>
        </c:rich>
      </c:tx>
      <c:layout>
        <c:manualLayout>
          <c:xMode val="edge"/>
          <c:yMode val="edge"/>
          <c:x val="0.17718744531933509"/>
          <c:y val="8.23855351414406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75000"/>
                <a:alpha val="5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 month'!$B$1</c:f>
              <c:strCache>
                <c:ptCount val="1"/>
                <c:pt idx="0">
                  <c:v>Total</c:v>
                </c:pt>
              </c:strCache>
            </c:strRef>
          </c:tx>
          <c:spPr>
            <a:solidFill>
              <a:schemeClr val="accent1"/>
            </a:solidFill>
            <a:ln>
              <a:noFill/>
            </a:ln>
            <a:effectLst/>
          </c:spPr>
          <c:invertIfNegative val="0"/>
          <c:dLbls>
            <c:spPr>
              <a:solidFill>
                <a:schemeClr val="bg1">
                  <a:lumMod val="75000"/>
                  <a:alpha val="54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month'!$A$2:$A$11</c:f>
              <c:strCache>
                <c:ptCount val="9"/>
                <c:pt idx="0">
                  <c:v>Jan</c:v>
                </c:pt>
                <c:pt idx="1">
                  <c:v>Feb</c:v>
                </c:pt>
                <c:pt idx="2">
                  <c:v>Mar</c:v>
                </c:pt>
                <c:pt idx="3">
                  <c:v>Apr</c:v>
                </c:pt>
                <c:pt idx="4">
                  <c:v>May</c:v>
                </c:pt>
                <c:pt idx="5">
                  <c:v>Jun</c:v>
                </c:pt>
                <c:pt idx="6">
                  <c:v>Jul</c:v>
                </c:pt>
                <c:pt idx="7">
                  <c:v>Aug</c:v>
                </c:pt>
                <c:pt idx="8">
                  <c:v>Sep</c:v>
                </c:pt>
              </c:strCache>
            </c:strRef>
          </c:cat>
          <c:val>
            <c:numRef>
              <c:f>'sales per month'!$B$2:$B$11</c:f>
              <c:numCache>
                <c:formatCode>General</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DD08-490A-9BDC-A441D6970539}"/>
            </c:ext>
          </c:extLst>
        </c:ser>
        <c:dLbls>
          <c:dLblPos val="outEnd"/>
          <c:showLegendKey val="0"/>
          <c:showVal val="1"/>
          <c:showCatName val="0"/>
          <c:showSerName val="0"/>
          <c:showPercent val="0"/>
          <c:showBubbleSize val="0"/>
        </c:dLbls>
        <c:gapWidth val="219"/>
        <c:overlap val="-27"/>
        <c:axId val="1495858112"/>
        <c:axId val="1495859072"/>
      </c:barChart>
      <c:catAx>
        <c:axId val="1495858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59072"/>
        <c:crosses val="autoZero"/>
        <c:auto val="1"/>
        <c:lblAlgn val="ctr"/>
        <c:lblOffset val="100"/>
        <c:noMultiLvlLbl val="0"/>
      </c:catAx>
      <c:valAx>
        <c:axId val="1495859072"/>
        <c:scaling>
          <c:orientation val="minMax"/>
        </c:scaling>
        <c:delete val="1"/>
        <c:axPos val="l"/>
        <c:numFmt formatCode="General" sourceLinked="1"/>
        <c:majorTickMark val="out"/>
        <c:minorTickMark val="none"/>
        <c:tickLblPos val="nextTo"/>
        <c:crossAx val="149585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per month!PivotTable2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Customers</a:t>
            </a:r>
            <a:r>
              <a:rPr lang="en-US" sz="1800" baseline="0"/>
              <a:t> per month</a:t>
            </a:r>
          </a:p>
        </c:rich>
      </c:tx>
      <c:layout>
        <c:manualLayout>
          <c:xMode val="edge"/>
          <c:yMode val="edge"/>
          <c:x val="0.5390270239278343"/>
          <c:y val="2.994353082087206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20093919617462E-2"/>
          <c:y val="0.21918452796162483"/>
          <c:w val="0.79924285859898581"/>
          <c:h val="0.57696990950446636"/>
        </c:manualLayout>
      </c:layout>
      <c:lineChart>
        <c:grouping val="stacked"/>
        <c:varyColors val="0"/>
        <c:ser>
          <c:idx val="0"/>
          <c:order val="0"/>
          <c:tx>
            <c:strRef>
              <c:f>'customer per month'!$B$2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'customer per month'!$A$3:$A$12</c:f>
              <c:strCache>
                <c:ptCount val="9"/>
                <c:pt idx="0">
                  <c:v>Jan</c:v>
                </c:pt>
                <c:pt idx="1">
                  <c:v>Feb</c:v>
                </c:pt>
                <c:pt idx="2">
                  <c:v>Mar</c:v>
                </c:pt>
                <c:pt idx="3">
                  <c:v>Apr</c:v>
                </c:pt>
                <c:pt idx="4">
                  <c:v>May</c:v>
                </c:pt>
                <c:pt idx="5">
                  <c:v>Jun</c:v>
                </c:pt>
                <c:pt idx="6">
                  <c:v>Jul</c:v>
                </c:pt>
                <c:pt idx="7">
                  <c:v>Aug</c:v>
                </c:pt>
                <c:pt idx="8">
                  <c:v>Sep</c:v>
                </c:pt>
              </c:strCache>
            </c:strRef>
          </c:cat>
          <c:val>
            <c:numRef>
              <c:f>'customer per month'!$B$3:$B$12</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9EC4-4BD7-A355-7C957CB7CD6E}"/>
            </c:ext>
          </c:extLst>
        </c:ser>
        <c:dLbls>
          <c:showLegendKey val="0"/>
          <c:showVal val="0"/>
          <c:showCatName val="0"/>
          <c:showSerName val="0"/>
          <c:showPercent val="0"/>
          <c:showBubbleSize val="0"/>
        </c:dLbls>
        <c:marker val="1"/>
        <c:smooth val="0"/>
        <c:axId val="780342432"/>
        <c:axId val="782825040"/>
      </c:lineChart>
      <c:catAx>
        <c:axId val="78034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25040"/>
        <c:crosses val="autoZero"/>
        <c:auto val="1"/>
        <c:lblAlgn val="ctr"/>
        <c:lblOffset val="100"/>
        <c:noMultiLvlLbl val="0"/>
      </c:catAx>
      <c:valAx>
        <c:axId val="78282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34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per region!PivotTable3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Total Profit per region</a:t>
            </a:r>
          </a:p>
        </c:rich>
      </c:tx>
      <c:layout>
        <c:manualLayout>
          <c:xMode val="edge"/>
          <c:yMode val="edge"/>
          <c:x val="0.6560069991251094"/>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633183931796"/>
          <c:y val="0.31016829150844011"/>
          <c:w val="0.77644123331744874"/>
          <c:h val="0.57145567942295639"/>
        </c:manualLayout>
      </c:layout>
      <c:barChart>
        <c:barDir val="bar"/>
        <c:grouping val="clustered"/>
        <c:varyColors val="0"/>
        <c:ser>
          <c:idx val="0"/>
          <c:order val="0"/>
          <c:tx>
            <c:strRef>
              <c:f>'profit per region'!$B$2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per region'!$A$3:$A$7</c:f>
              <c:strCache>
                <c:ptCount val="4"/>
                <c:pt idx="0">
                  <c:v>Brazil</c:v>
                </c:pt>
                <c:pt idx="1">
                  <c:v>Chicaco</c:v>
                </c:pt>
                <c:pt idx="2">
                  <c:v>Chile</c:v>
                </c:pt>
                <c:pt idx="3">
                  <c:v>Columbia</c:v>
                </c:pt>
              </c:strCache>
            </c:strRef>
          </c:cat>
          <c:val>
            <c:numRef>
              <c:f>'profit per region'!$B$3:$B$7</c:f>
              <c:numCache>
                <c:formatCode>General</c:formatCode>
                <c:ptCount val="4"/>
                <c:pt idx="0">
                  <c:v>129875</c:v>
                </c:pt>
                <c:pt idx="1">
                  <c:v>126793</c:v>
                </c:pt>
                <c:pt idx="2">
                  <c:v>128833</c:v>
                </c:pt>
                <c:pt idx="3">
                  <c:v>125980</c:v>
                </c:pt>
              </c:numCache>
            </c:numRef>
          </c:val>
          <c:extLst>
            <c:ext xmlns:c16="http://schemas.microsoft.com/office/drawing/2014/chart" uri="{C3380CC4-5D6E-409C-BE32-E72D297353CC}">
              <c16:uniqueId val="{00000000-9AF9-4E8B-9CCF-883D4849E438}"/>
            </c:ext>
          </c:extLst>
        </c:ser>
        <c:dLbls>
          <c:dLblPos val="outEnd"/>
          <c:showLegendKey val="0"/>
          <c:showVal val="1"/>
          <c:showCatName val="0"/>
          <c:showSerName val="0"/>
          <c:showPercent val="0"/>
          <c:showBubbleSize val="0"/>
        </c:dLbls>
        <c:gapWidth val="182"/>
        <c:axId val="870376160"/>
        <c:axId val="870372320"/>
      </c:barChart>
      <c:catAx>
        <c:axId val="87037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372320"/>
        <c:crosses val="autoZero"/>
        <c:auto val="1"/>
        <c:lblAlgn val="ctr"/>
        <c:lblOffset val="100"/>
        <c:noMultiLvlLbl val="0"/>
      </c:catAx>
      <c:valAx>
        <c:axId val="8703723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376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per quarter!PivotTable4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quarter</a:t>
            </a:r>
          </a:p>
        </c:rich>
      </c:tx>
      <c:layout>
        <c:manualLayout>
          <c:xMode val="edge"/>
          <c:yMode val="edge"/>
          <c:x val="0.73460578842315372"/>
          <c:y val="3.4839395075615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16150553224260142"/>
          <c:y val="0.10767631326072535"/>
          <c:w val="0.53176265579078064"/>
          <c:h val="0.84575584301962259"/>
        </c:manualLayout>
      </c:layout>
      <c:doughnutChart>
        <c:varyColors val="1"/>
        <c:ser>
          <c:idx val="0"/>
          <c:order val="0"/>
          <c:tx>
            <c:strRef>
              <c:f>'Profit per quarter'!$B$1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5F-4C34-BCBB-B486AE9E07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5F-4C34-BCBB-B486AE9E07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85F-4C34-BCBB-B486AE9E07D8}"/>
              </c:ext>
            </c:extLst>
          </c:dPt>
          <c:cat>
            <c:strRef>
              <c:f>'Profit per quarter'!$A$2:$A$5</c:f>
              <c:strCache>
                <c:ptCount val="3"/>
                <c:pt idx="0">
                  <c:v>Quarter 1</c:v>
                </c:pt>
                <c:pt idx="1">
                  <c:v>Quarter 2</c:v>
                </c:pt>
                <c:pt idx="2">
                  <c:v>Quarter 3</c:v>
                </c:pt>
              </c:strCache>
            </c:strRef>
          </c:cat>
          <c:val>
            <c:numRef>
              <c:f>'Profit per quarter'!$B$2:$B$5</c:f>
              <c:numCache>
                <c:formatCode>General</c:formatCode>
                <c:ptCount val="3"/>
                <c:pt idx="0">
                  <c:v>84397</c:v>
                </c:pt>
                <c:pt idx="1">
                  <c:v>296214</c:v>
                </c:pt>
                <c:pt idx="2">
                  <c:v>510500</c:v>
                </c:pt>
              </c:numCache>
            </c:numRef>
          </c:val>
          <c:extLst>
            <c:ext xmlns:c16="http://schemas.microsoft.com/office/drawing/2014/chart" uri="{C3380CC4-5D6E-409C-BE32-E72D297353CC}">
              <c16:uniqueId val="{00000006-B85F-4C34-BCBB-B486AE9E07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76200</xdr:colOff>
      <xdr:row>6</xdr:row>
      <xdr:rowOff>83820</xdr:rowOff>
    </xdr:from>
    <xdr:to>
      <xdr:col>11</xdr:col>
      <xdr:colOff>381000</xdr:colOff>
      <xdr:row>21</xdr:row>
      <xdr:rowOff>83820</xdr:rowOff>
    </xdr:to>
    <xdr:graphicFrame macro="">
      <xdr:nvGraphicFramePr>
        <xdr:cNvPr id="3" name="Chart 2">
          <a:extLst>
            <a:ext uri="{FF2B5EF4-FFF2-40B4-BE49-F238E27FC236}">
              <a16:creationId xmlns:a16="http://schemas.microsoft.com/office/drawing/2014/main" id="{BB0072B3-D88A-38E9-7F86-13DC9747A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2</xdr:row>
      <xdr:rowOff>175260</xdr:rowOff>
    </xdr:from>
    <xdr:to>
      <xdr:col>13</xdr:col>
      <xdr:colOff>144780</xdr:colOff>
      <xdr:row>17</xdr:row>
      <xdr:rowOff>175260</xdr:rowOff>
    </xdr:to>
    <xdr:graphicFrame macro="">
      <xdr:nvGraphicFramePr>
        <xdr:cNvPr id="2" name="Chart 1">
          <a:extLst>
            <a:ext uri="{FF2B5EF4-FFF2-40B4-BE49-F238E27FC236}">
              <a16:creationId xmlns:a16="http://schemas.microsoft.com/office/drawing/2014/main" id="{E1E3CD40-CE53-A83F-A8BB-2D8D51491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3</xdr:row>
      <xdr:rowOff>91440</xdr:rowOff>
    </xdr:from>
    <xdr:to>
      <xdr:col>15</xdr:col>
      <xdr:colOff>68580</xdr:colOff>
      <xdr:row>18</xdr:row>
      <xdr:rowOff>91440</xdr:rowOff>
    </xdr:to>
    <xdr:graphicFrame macro="">
      <xdr:nvGraphicFramePr>
        <xdr:cNvPr id="2" name="Chart 1">
          <a:extLst>
            <a:ext uri="{FF2B5EF4-FFF2-40B4-BE49-F238E27FC236}">
              <a16:creationId xmlns:a16="http://schemas.microsoft.com/office/drawing/2014/main" id="{13621BAD-0CFD-33FE-E5AE-1A519B063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3</xdr:row>
      <xdr:rowOff>175260</xdr:rowOff>
    </xdr:from>
    <xdr:to>
      <xdr:col>12</xdr:col>
      <xdr:colOff>289560</xdr:colOff>
      <xdr:row>21</xdr:row>
      <xdr:rowOff>83820</xdr:rowOff>
    </xdr:to>
    <xdr:graphicFrame macro="">
      <xdr:nvGraphicFramePr>
        <xdr:cNvPr id="2" name="Chart 1">
          <a:extLst>
            <a:ext uri="{FF2B5EF4-FFF2-40B4-BE49-F238E27FC236}">
              <a16:creationId xmlns:a16="http://schemas.microsoft.com/office/drawing/2014/main" id="{C5A1DCFE-A17C-0B1E-7A91-DF7B09DDF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33</xdr:col>
      <xdr:colOff>401384</xdr:colOff>
      <xdr:row>9</xdr:row>
      <xdr:rowOff>60960</xdr:rowOff>
    </xdr:from>
    <xdr:to>
      <xdr:col>58</xdr:col>
      <xdr:colOff>119743</xdr:colOff>
      <xdr:row>56</xdr:row>
      <xdr:rowOff>95250</xdr:rowOff>
    </xdr:to>
    <xdr:sp macro="" textlink="">
      <xdr:nvSpPr>
        <xdr:cNvPr id="2" name="Rectangle: Rounded Corners 1">
          <a:extLst>
            <a:ext uri="{FF2B5EF4-FFF2-40B4-BE49-F238E27FC236}">
              <a16:creationId xmlns:a16="http://schemas.microsoft.com/office/drawing/2014/main" id="{583B0411-659B-0962-F0A8-A70300115BE6}"/>
            </a:ext>
          </a:extLst>
        </xdr:cNvPr>
        <xdr:cNvSpPr/>
      </xdr:nvSpPr>
      <xdr:spPr>
        <a:xfrm>
          <a:off x="20518184" y="1775460"/>
          <a:ext cx="14958359" cy="8987790"/>
        </a:xfrm>
        <a:prstGeom prst="roundRect">
          <a:avLst>
            <a:gd name="adj" fmla="val 53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519545</xdr:colOff>
      <xdr:row>20</xdr:row>
      <xdr:rowOff>20782</xdr:rowOff>
    </xdr:from>
    <xdr:to>
      <xdr:col>41</xdr:col>
      <xdr:colOff>500495</xdr:colOff>
      <xdr:row>36</xdr:row>
      <xdr:rowOff>77932</xdr:rowOff>
    </xdr:to>
    <xdr:sp macro="" textlink="">
      <xdr:nvSpPr>
        <xdr:cNvPr id="15" name="Rectangle: Rounded Corners 14">
          <a:extLst>
            <a:ext uri="{FF2B5EF4-FFF2-40B4-BE49-F238E27FC236}">
              <a16:creationId xmlns:a16="http://schemas.microsoft.com/office/drawing/2014/main" id="{19E54A03-CE98-475B-7342-8D1468383202}"/>
            </a:ext>
          </a:extLst>
        </xdr:cNvPr>
        <xdr:cNvSpPr/>
      </xdr:nvSpPr>
      <xdr:spPr>
        <a:xfrm>
          <a:off x="20636345" y="3622964"/>
          <a:ext cx="4857750" cy="2938895"/>
        </a:xfrm>
        <a:prstGeom prst="roundRect">
          <a:avLst>
            <a:gd name="adj" fmla="val 593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168729</xdr:colOff>
      <xdr:row>19</xdr:row>
      <xdr:rowOff>171450</xdr:rowOff>
    </xdr:from>
    <xdr:to>
      <xdr:col>53</xdr:col>
      <xdr:colOff>606879</xdr:colOff>
      <xdr:row>36</xdr:row>
      <xdr:rowOff>97972</xdr:rowOff>
    </xdr:to>
    <xdr:sp macro="" textlink="">
      <xdr:nvSpPr>
        <xdr:cNvPr id="17" name="Rectangle: Rounded Corners 16">
          <a:extLst>
            <a:ext uri="{FF2B5EF4-FFF2-40B4-BE49-F238E27FC236}">
              <a16:creationId xmlns:a16="http://schemas.microsoft.com/office/drawing/2014/main" id="{832A93AC-8C32-4419-BC73-1476CA82DD04}"/>
            </a:ext>
          </a:extLst>
        </xdr:cNvPr>
        <xdr:cNvSpPr/>
      </xdr:nvSpPr>
      <xdr:spPr>
        <a:xfrm>
          <a:off x="25771929" y="3687536"/>
          <a:ext cx="7143750" cy="3072493"/>
        </a:xfrm>
        <a:prstGeom prst="roundRect">
          <a:avLst>
            <a:gd name="adj" fmla="val 593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2871</xdr:colOff>
      <xdr:row>20</xdr:row>
      <xdr:rowOff>177585</xdr:rowOff>
    </xdr:from>
    <xdr:to>
      <xdr:col>41</xdr:col>
      <xdr:colOff>276101</xdr:colOff>
      <xdr:row>35</xdr:row>
      <xdr:rowOff>177585</xdr:rowOff>
    </xdr:to>
    <xdr:graphicFrame macro="">
      <xdr:nvGraphicFramePr>
        <xdr:cNvPr id="3" name="Chart 2">
          <a:extLst>
            <a:ext uri="{FF2B5EF4-FFF2-40B4-BE49-F238E27FC236}">
              <a16:creationId xmlns:a16="http://schemas.microsoft.com/office/drawing/2014/main" id="{8B0A1777-38E1-40EF-9DC1-D23FD820C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205441</xdr:colOff>
      <xdr:row>38</xdr:row>
      <xdr:rowOff>99061</xdr:rowOff>
    </xdr:from>
    <xdr:to>
      <xdr:col>54</xdr:col>
      <xdr:colOff>33991</xdr:colOff>
      <xdr:row>55</xdr:row>
      <xdr:rowOff>25582</xdr:rowOff>
    </xdr:to>
    <xdr:sp macro="" textlink="">
      <xdr:nvSpPr>
        <xdr:cNvPr id="21" name="Rectangle: Rounded Corners 20">
          <a:extLst>
            <a:ext uri="{FF2B5EF4-FFF2-40B4-BE49-F238E27FC236}">
              <a16:creationId xmlns:a16="http://schemas.microsoft.com/office/drawing/2014/main" id="{7E3F34EF-179A-4F21-9C94-47BEB17B700E}"/>
            </a:ext>
          </a:extLst>
        </xdr:cNvPr>
        <xdr:cNvSpPr/>
      </xdr:nvSpPr>
      <xdr:spPr>
        <a:xfrm>
          <a:off x="25808641" y="7131232"/>
          <a:ext cx="7143750" cy="3072493"/>
        </a:xfrm>
        <a:prstGeom prst="roundRect">
          <a:avLst>
            <a:gd name="adj" fmla="val 593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199752</xdr:colOff>
      <xdr:row>20</xdr:row>
      <xdr:rowOff>166427</xdr:rowOff>
    </xdr:from>
    <xdr:to>
      <xdr:col>53</xdr:col>
      <xdr:colOff>468086</xdr:colOff>
      <xdr:row>35</xdr:row>
      <xdr:rowOff>154285</xdr:rowOff>
    </xdr:to>
    <xdr:graphicFrame macro="">
      <xdr:nvGraphicFramePr>
        <xdr:cNvPr id="4" name="Chart 3">
          <a:extLst>
            <a:ext uri="{FF2B5EF4-FFF2-40B4-BE49-F238E27FC236}">
              <a16:creationId xmlns:a16="http://schemas.microsoft.com/office/drawing/2014/main" id="{B5537370-F125-4B0B-A410-73A91399A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311926</xdr:colOff>
      <xdr:row>39</xdr:row>
      <xdr:rowOff>152401</xdr:rowOff>
    </xdr:from>
    <xdr:to>
      <xdr:col>53</xdr:col>
      <xdr:colOff>402772</xdr:colOff>
      <xdr:row>53</xdr:row>
      <xdr:rowOff>149135</xdr:rowOff>
    </xdr:to>
    <xdr:graphicFrame macro="">
      <xdr:nvGraphicFramePr>
        <xdr:cNvPr id="5" name="Chart 4">
          <a:extLst>
            <a:ext uri="{FF2B5EF4-FFF2-40B4-BE49-F238E27FC236}">
              <a16:creationId xmlns:a16="http://schemas.microsoft.com/office/drawing/2014/main" id="{15D93A84-9FC8-4CA7-9B1A-174B0C2D1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54</xdr:col>
      <xdr:colOff>98613</xdr:colOff>
      <xdr:row>19</xdr:row>
      <xdr:rowOff>161365</xdr:rowOff>
    </xdr:from>
    <xdr:to>
      <xdr:col>58</xdr:col>
      <xdr:colOff>53789</xdr:colOff>
      <xdr:row>36</xdr:row>
      <xdr:rowOff>116541</xdr:rowOff>
    </xdr:to>
    <xdr:sp macro="" textlink="">
      <xdr:nvSpPr>
        <xdr:cNvPr id="23" name="Rectangle: Rounded Corners 22">
          <a:extLst>
            <a:ext uri="{FF2B5EF4-FFF2-40B4-BE49-F238E27FC236}">
              <a16:creationId xmlns:a16="http://schemas.microsoft.com/office/drawing/2014/main" id="{1677F6B4-1B56-0DAD-CEE9-EF9BA8B99AE7}"/>
            </a:ext>
          </a:extLst>
        </xdr:cNvPr>
        <xdr:cNvSpPr/>
      </xdr:nvSpPr>
      <xdr:spPr>
        <a:xfrm>
          <a:off x="33017013" y="3567953"/>
          <a:ext cx="2393576" cy="3003176"/>
        </a:xfrm>
        <a:prstGeom prst="roundRect">
          <a:avLst>
            <a:gd name="adj" fmla="val 69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54</xdr:col>
      <xdr:colOff>97972</xdr:colOff>
      <xdr:row>38</xdr:row>
      <xdr:rowOff>65315</xdr:rowOff>
    </xdr:from>
    <xdr:to>
      <xdr:col>58</xdr:col>
      <xdr:colOff>53148</xdr:colOff>
      <xdr:row>55</xdr:row>
      <xdr:rowOff>20490</xdr:rowOff>
    </xdr:to>
    <xdr:sp macro="" textlink="">
      <xdr:nvSpPr>
        <xdr:cNvPr id="25" name="Rectangle: Rounded Corners 24">
          <a:extLst>
            <a:ext uri="{FF2B5EF4-FFF2-40B4-BE49-F238E27FC236}">
              <a16:creationId xmlns:a16="http://schemas.microsoft.com/office/drawing/2014/main" id="{37D747AE-4AD2-422B-98A5-5D3645D801CE}"/>
            </a:ext>
          </a:extLst>
        </xdr:cNvPr>
        <xdr:cNvSpPr/>
      </xdr:nvSpPr>
      <xdr:spPr>
        <a:xfrm>
          <a:off x="33016372" y="7097486"/>
          <a:ext cx="2393576" cy="3101147"/>
        </a:xfrm>
        <a:prstGeom prst="roundRect">
          <a:avLst>
            <a:gd name="adj" fmla="val 69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54</xdr:col>
      <xdr:colOff>209964</xdr:colOff>
      <xdr:row>28</xdr:row>
      <xdr:rowOff>152008</xdr:rowOff>
    </xdr:from>
    <xdr:to>
      <xdr:col>57</xdr:col>
      <xdr:colOff>484094</xdr:colOff>
      <xdr:row>36</xdr:row>
      <xdr:rowOff>37708</xdr:rowOff>
    </xdr:to>
    <mc:AlternateContent xmlns:mc="http://schemas.openxmlformats.org/markup-compatibility/2006" xmlns:tsle="http://schemas.microsoft.com/office/drawing/2012/timeslicer">
      <mc:Choice Requires="tsle">
        <xdr:graphicFrame macro="">
          <xdr:nvGraphicFramePr>
            <xdr:cNvPr id="8" name="Month 1" descr="&#10;">
              <a:extLst>
                <a:ext uri="{FF2B5EF4-FFF2-40B4-BE49-F238E27FC236}">
                  <a16:creationId xmlns:a16="http://schemas.microsoft.com/office/drawing/2014/main" id="{4797B5DE-0C86-4379-9944-C7A177859C94}"/>
                </a:ext>
              </a:extLst>
            </xdr:cNvPr>
            <xdr:cNvGraphicFramePr>
              <a:graphicFrameLocks/>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33128364" y="5195063"/>
              <a:ext cx="2102930" cy="132657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54</xdr:col>
      <xdr:colOff>216033</xdr:colOff>
      <xdr:row>39</xdr:row>
      <xdr:rowOff>49245</xdr:rowOff>
    </xdr:from>
    <xdr:to>
      <xdr:col>57</xdr:col>
      <xdr:colOff>500743</xdr:colOff>
      <xdr:row>53</xdr:row>
      <xdr:rowOff>174170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E2835F8-95F5-81F7-DABC-FA38C7D9CA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134433" y="7073500"/>
              <a:ext cx="2113510" cy="2646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581891</xdr:colOff>
      <xdr:row>10</xdr:row>
      <xdr:rowOff>97974</xdr:rowOff>
    </xdr:from>
    <xdr:to>
      <xdr:col>41</xdr:col>
      <xdr:colOff>443345</xdr:colOff>
      <xdr:row>18</xdr:row>
      <xdr:rowOff>69273</xdr:rowOff>
    </xdr:to>
    <xdr:sp macro="" textlink="">
      <xdr:nvSpPr>
        <xdr:cNvPr id="10" name="Rectangle: Rounded Corners 9">
          <a:extLst>
            <a:ext uri="{FF2B5EF4-FFF2-40B4-BE49-F238E27FC236}">
              <a16:creationId xmlns:a16="http://schemas.microsoft.com/office/drawing/2014/main" id="{DDC01743-EA76-28C2-C0D6-934D5F87163F}"/>
            </a:ext>
          </a:extLst>
        </xdr:cNvPr>
        <xdr:cNvSpPr/>
      </xdr:nvSpPr>
      <xdr:spPr>
        <a:xfrm>
          <a:off x="20698691" y="1899065"/>
          <a:ext cx="4738254" cy="14121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2">
                  <a:lumMod val="75000"/>
                  <a:lumOff val="25000"/>
                </a:schemeClr>
              </a:solidFill>
            </a:rPr>
            <a:t>Total sales  </a:t>
          </a:r>
        </a:p>
        <a:p>
          <a:pPr algn="ctr"/>
          <a:r>
            <a:rPr lang="en-US" sz="3200" b="1">
              <a:solidFill>
                <a:schemeClr val="tx2">
                  <a:lumMod val="75000"/>
                  <a:lumOff val="25000"/>
                </a:schemeClr>
              </a:solidFill>
            </a:rPr>
            <a:t> $7,549,411</a:t>
          </a:r>
        </a:p>
      </xdr:txBody>
    </xdr:sp>
    <xdr:clientData/>
  </xdr:twoCellAnchor>
  <xdr:twoCellAnchor>
    <xdr:from>
      <xdr:col>42</xdr:col>
      <xdr:colOff>75409</xdr:colOff>
      <xdr:row>10</xdr:row>
      <xdr:rowOff>103907</xdr:rowOff>
    </xdr:from>
    <xdr:to>
      <xdr:col>49</xdr:col>
      <xdr:colOff>457201</xdr:colOff>
      <xdr:row>18</xdr:row>
      <xdr:rowOff>83127</xdr:rowOff>
    </xdr:to>
    <xdr:sp macro="" textlink="">
      <xdr:nvSpPr>
        <xdr:cNvPr id="12" name="Rectangle: Rounded Corners 11">
          <a:extLst>
            <a:ext uri="{FF2B5EF4-FFF2-40B4-BE49-F238E27FC236}">
              <a16:creationId xmlns:a16="http://schemas.microsoft.com/office/drawing/2014/main" id="{8005C080-341F-4C5B-BF5F-F7D3F97683F7}"/>
            </a:ext>
          </a:extLst>
        </xdr:cNvPr>
        <xdr:cNvSpPr/>
      </xdr:nvSpPr>
      <xdr:spPr>
        <a:xfrm>
          <a:off x="25678609" y="1904998"/>
          <a:ext cx="4648992" cy="14200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2">
                  <a:lumMod val="75000"/>
                  <a:lumOff val="25000"/>
                </a:schemeClr>
              </a:solidFill>
            </a:rPr>
            <a:t>Total Profit </a:t>
          </a:r>
        </a:p>
        <a:p>
          <a:pPr algn="ctr"/>
          <a:r>
            <a:rPr lang="en-US" sz="3200" b="1">
              <a:solidFill>
                <a:schemeClr val="tx2">
                  <a:lumMod val="75000"/>
                  <a:lumOff val="25000"/>
                </a:schemeClr>
              </a:solidFill>
            </a:rPr>
            <a:t>$891,111</a:t>
          </a:r>
        </a:p>
      </xdr:txBody>
    </xdr:sp>
    <xdr:clientData/>
  </xdr:twoCellAnchor>
  <xdr:twoCellAnchor>
    <xdr:from>
      <xdr:col>50</xdr:col>
      <xdr:colOff>69273</xdr:colOff>
      <xdr:row>10</xdr:row>
      <xdr:rowOff>60168</xdr:rowOff>
    </xdr:from>
    <xdr:to>
      <xdr:col>57</xdr:col>
      <xdr:colOff>346365</xdr:colOff>
      <xdr:row>18</xdr:row>
      <xdr:rowOff>83126</xdr:rowOff>
    </xdr:to>
    <xdr:sp macro="" textlink="">
      <xdr:nvSpPr>
        <xdr:cNvPr id="13" name="Rectangle: Rounded Corners 12">
          <a:extLst>
            <a:ext uri="{FF2B5EF4-FFF2-40B4-BE49-F238E27FC236}">
              <a16:creationId xmlns:a16="http://schemas.microsoft.com/office/drawing/2014/main" id="{091F43BD-9190-470D-AC9B-2CDF3553AD4A}"/>
            </a:ext>
          </a:extLst>
        </xdr:cNvPr>
        <xdr:cNvSpPr/>
      </xdr:nvSpPr>
      <xdr:spPr>
        <a:xfrm>
          <a:off x="30549273" y="1861259"/>
          <a:ext cx="4544292" cy="146383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tx2">
                  <a:lumMod val="75000"/>
                  <a:lumOff val="25000"/>
                </a:schemeClr>
              </a:solidFill>
            </a:rPr>
            <a:t>Number</a:t>
          </a:r>
          <a:r>
            <a:rPr lang="en-US" sz="3200" b="1" baseline="0">
              <a:solidFill>
                <a:schemeClr val="tx2">
                  <a:lumMod val="75000"/>
                  <a:lumOff val="25000"/>
                </a:schemeClr>
              </a:solidFill>
            </a:rPr>
            <a:t> of customer</a:t>
          </a:r>
        </a:p>
        <a:p>
          <a:pPr algn="ctr"/>
          <a:r>
            <a:rPr lang="en-US" sz="3200" b="1" baseline="0">
              <a:solidFill>
                <a:schemeClr val="tx2">
                  <a:lumMod val="75000"/>
                  <a:lumOff val="25000"/>
                </a:schemeClr>
              </a:solidFill>
            </a:rPr>
            <a:t>9360</a:t>
          </a:r>
          <a:endParaRPr lang="en-US" sz="3200" b="1">
            <a:solidFill>
              <a:schemeClr val="tx2">
                <a:lumMod val="75000"/>
                <a:lumOff val="25000"/>
              </a:schemeClr>
            </a:solidFill>
          </a:endParaRPr>
        </a:p>
      </xdr:txBody>
    </xdr:sp>
    <xdr:clientData/>
  </xdr:twoCellAnchor>
  <xdr:twoCellAnchor>
    <xdr:from>
      <xdr:col>33</xdr:col>
      <xdr:colOff>383721</xdr:colOff>
      <xdr:row>3</xdr:row>
      <xdr:rowOff>180158</xdr:rowOff>
    </xdr:from>
    <xdr:to>
      <xdr:col>58</xdr:col>
      <xdr:colOff>114300</xdr:colOff>
      <xdr:row>8</xdr:row>
      <xdr:rowOff>171449</xdr:rowOff>
    </xdr:to>
    <xdr:sp macro="" textlink="">
      <xdr:nvSpPr>
        <xdr:cNvPr id="14" name="Rectangle: Rounded Corners 13">
          <a:extLst>
            <a:ext uri="{FF2B5EF4-FFF2-40B4-BE49-F238E27FC236}">
              <a16:creationId xmlns:a16="http://schemas.microsoft.com/office/drawing/2014/main" id="{067EEED7-C69E-AE8B-CD58-2ACFFB0E572B}"/>
            </a:ext>
          </a:extLst>
        </xdr:cNvPr>
        <xdr:cNvSpPr/>
      </xdr:nvSpPr>
      <xdr:spPr>
        <a:xfrm>
          <a:off x="20500521" y="751658"/>
          <a:ext cx="14970579" cy="943791"/>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i="1" u="none"/>
            <a:t>Sales Dashboard</a:t>
          </a:r>
        </a:p>
      </xdr:txBody>
    </xdr:sp>
    <xdr:clientData/>
  </xdr:twoCellAnchor>
  <xdr:twoCellAnchor>
    <xdr:from>
      <xdr:col>33</xdr:col>
      <xdr:colOff>512220</xdr:colOff>
      <xdr:row>38</xdr:row>
      <xdr:rowOff>112915</xdr:rowOff>
    </xdr:from>
    <xdr:to>
      <xdr:col>41</xdr:col>
      <xdr:colOff>493170</xdr:colOff>
      <xdr:row>54</xdr:row>
      <xdr:rowOff>170064</xdr:rowOff>
    </xdr:to>
    <xdr:sp macro="" textlink="">
      <xdr:nvSpPr>
        <xdr:cNvPr id="11" name="Rectangle: Rounded Corners 10">
          <a:extLst>
            <a:ext uri="{FF2B5EF4-FFF2-40B4-BE49-F238E27FC236}">
              <a16:creationId xmlns:a16="http://schemas.microsoft.com/office/drawing/2014/main" id="{11767B7B-3099-4608-BD06-49D28973FDAD}"/>
            </a:ext>
          </a:extLst>
        </xdr:cNvPr>
        <xdr:cNvSpPr/>
      </xdr:nvSpPr>
      <xdr:spPr>
        <a:xfrm>
          <a:off x="20629020" y="6957060"/>
          <a:ext cx="4857750" cy="2938895"/>
        </a:xfrm>
        <a:prstGeom prst="roundRect">
          <a:avLst>
            <a:gd name="adj" fmla="val 593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55020</xdr:colOff>
      <xdr:row>39</xdr:row>
      <xdr:rowOff>126769</xdr:rowOff>
    </xdr:from>
    <xdr:to>
      <xdr:col>41</xdr:col>
      <xdr:colOff>326689</xdr:colOff>
      <xdr:row>53</xdr:row>
      <xdr:rowOff>130034</xdr:rowOff>
    </xdr:to>
    <xdr:graphicFrame macro="">
      <xdr:nvGraphicFramePr>
        <xdr:cNvPr id="20" name="Chart 19">
          <a:extLst>
            <a:ext uri="{FF2B5EF4-FFF2-40B4-BE49-F238E27FC236}">
              <a16:creationId xmlns:a16="http://schemas.microsoft.com/office/drawing/2014/main" id="{0445D53C-6FA8-4A34-903A-836DEE0B0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54</xdr:col>
      <xdr:colOff>212911</xdr:colOff>
      <xdr:row>20</xdr:row>
      <xdr:rowOff>134024</xdr:rowOff>
    </xdr:from>
    <xdr:to>
      <xdr:col>57</xdr:col>
      <xdr:colOff>475128</xdr:colOff>
      <xdr:row>28</xdr:row>
      <xdr:rowOff>71718</xdr:rowOff>
    </xdr:to>
    <mc:AlternateContent xmlns:mc="http://schemas.openxmlformats.org/markup-compatibility/2006" xmlns:a14="http://schemas.microsoft.com/office/drawing/2010/main">
      <mc:Choice Requires="a14">
        <xdr:graphicFrame macro="">
          <xdr:nvGraphicFramePr>
            <xdr:cNvPr id="24" name="Month (Month)">
              <a:extLst>
                <a:ext uri="{FF2B5EF4-FFF2-40B4-BE49-F238E27FC236}">
                  <a16:creationId xmlns:a16="http://schemas.microsoft.com/office/drawing/2014/main" id="{12ECBF87-7C43-DDF9-69FD-77F1914EF378}"/>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33131311" y="3736206"/>
              <a:ext cx="2091017" cy="1378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49</xdr:col>
      <xdr:colOff>138545</xdr:colOff>
      <xdr:row>4</xdr:row>
      <xdr:rowOff>22170</xdr:rowOff>
    </xdr:from>
    <xdr:to>
      <xdr:col>50</xdr:col>
      <xdr:colOff>406987</xdr:colOff>
      <xdr:row>9</xdr:row>
      <xdr:rowOff>2</xdr:rowOff>
    </xdr:to>
    <xdr:pic>
      <xdr:nvPicPr>
        <xdr:cNvPr id="7" name="Picture 6">
          <a:extLst>
            <a:ext uri="{FF2B5EF4-FFF2-40B4-BE49-F238E27FC236}">
              <a16:creationId xmlns:a16="http://schemas.microsoft.com/office/drawing/2014/main" id="{CE25B7B3-8851-5C9E-EF7A-06EA4636B0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008945" y="742606"/>
          <a:ext cx="878042" cy="878378"/>
        </a:xfrm>
        <a:prstGeom prst="rect">
          <a:avLst/>
        </a:prstGeom>
      </xdr:spPr>
    </xdr:pic>
    <xdr:clientData/>
  </xdr:twoCellAnchor>
  <xdr:twoCellAnchor editAs="oneCell">
    <xdr:from>
      <xdr:col>41</xdr:col>
      <xdr:colOff>96982</xdr:colOff>
      <xdr:row>4</xdr:row>
      <xdr:rowOff>41564</xdr:rowOff>
    </xdr:from>
    <xdr:to>
      <xdr:col>42</xdr:col>
      <xdr:colOff>365424</xdr:colOff>
      <xdr:row>9</xdr:row>
      <xdr:rowOff>19396</xdr:rowOff>
    </xdr:to>
    <xdr:pic>
      <xdr:nvPicPr>
        <xdr:cNvPr id="18" name="Picture 17">
          <a:extLst>
            <a:ext uri="{FF2B5EF4-FFF2-40B4-BE49-F238E27FC236}">
              <a16:creationId xmlns:a16="http://schemas.microsoft.com/office/drawing/2014/main" id="{CEC8A38B-48F6-488B-B3E2-83004E80D4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090582" y="762000"/>
          <a:ext cx="878042" cy="87837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1.859113194441" backgroundQuery="1" createdVersion="8" refreshedVersion="8" minRefreshableVersion="3" recordCount="0" supportSubquery="1" supportAdvancedDrill="1" xr:uid="{3EAC8479-1464-4D4B-80C1-DD77E994A8F7}">
  <cacheSource type="external" connectionId="1"/>
  <cacheFields count="3">
    <cacheField name="[Measures].[Sum of Profit]" caption="Sum of Profit" numFmtId="0" hierarchy="17" level="32767"/>
    <cacheField name="[Table1].[Quarter].[Quarter]" caption="Quarter" numFmtId="0" hierarchy="6" level="1">
      <sharedItems count="3">
        <s v="Quarter 1"/>
        <s v="Quarter 2"/>
        <s v="Quarter 3"/>
      </sharedItems>
    </cacheField>
    <cacheField name="[Table1].[Month].[Month]" caption="Month" numFmtId="0" level="1">
      <sharedItems containsSemiMixedTypes="0" containsNonDate="0" containsString="0"/>
    </cacheField>
  </cacheFields>
  <cacheHierarchies count="18">
    <cacheHierarchy uniqueName="[Table1].[Month]" caption="Month" attribute="1" time="1" defaultMemberUniqueName="[Table1].[Month].[All]" allUniqueName="[Table1].[Month].[All]" dimensionUniqueName="[Table1]" displayFolder="" count="2" memberValueDatatype="7" unbalanced="0">
      <fieldsUsage count="2">
        <fieldUsage x="-1"/>
        <fieldUsage x="2"/>
      </fieldsUsage>
    </cacheHierarchy>
    <cacheHierarchy uniqueName="[Table1].[Region]" caption="Region" attribute="1" defaultMemberUniqueName="[Table1].[Region].[All]" allUniqueName="[Table1].[Region].[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20" unbalanced="0"/>
    <cacheHierarchy uniqueName="[Table1].[Target Sales]" caption="Target Sales" attribute="1" defaultMemberUniqueName="[Table1].[Target Sales].[All]" allUniqueName="[Table1].[Target Sales].[All]" dimensionUniqueName="[Table1]" displayFolder="" count="2" memberValueDatatype="5" unbalanced="0"/>
    <cacheHierarchy uniqueName="[Table1].[Customers]" caption="Customers" attribute="1" defaultMemberUniqueName="[Table1].[Customers].[All]" allUniqueName="[Table1].[Customers].[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130" unbalanced="0">
      <fieldsUsage count="2">
        <fieldUsage x="-1"/>
        <fieldUsage x="1"/>
      </fieldsUsage>
    </cacheHierarchy>
    <cacheHierarchy uniqueName="[Table1].[Sales Completion Rate]" caption="Sales Completion Rate" attribute="1" defaultMemberUniqueName="[Table1].[Sales Completion Rate].[All]" allUniqueName="[Table1].[Sales Completion Rate].[All]" dimensionUniqueName="[Table1]" displayFolder="" count="2" memberValueDatatype="5" unbalanced="0"/>
    <cacheHierarchy uniqueName="[Table1].[Profit Completion Rate]" caption="Profit Completion Rate" attribute="1" defaultMemberUniqueName="[Table1].[Profit Completion Rate].[All]" allUniqueName="[Table1].[Profit Completion Rate].[All]" dimensionUniqueName="[Table1]" displayFolder="" count="2" memberValueDatatype="5" unbalanced="0"/>
    <cacheHierarchy uniqueName="[Table1].[Customer Completion Rate]" caption="Customer Completion Rate" attribute="1" defaultMemberUniqueName="[Table1].[Customer Completion Rate].[All]" allUniqueName="[Table1].[Customer Completion Rate].[All]" dimensionUniqueName="[Table1]" displayFolder="" count="2" memberValueDatatype="5" unbalanced="0"/>
    <cacheHierarchy uniqueName="[Table1].[Month (Month)]" caption="Month (Month)" attribute="1" defaultMemberUniqueName="[Table1].[Month (Month)].[All]" allUniqueName="[Table1].[Month (Month)].[All]" dimensionUniqueName="[Table1]" displayFolder="" count="2" memberValueDatatype="130" unbalanced="0"/>
    <cacheHierarchy uniqueName="[Table1].[Month (Month Index)]" caption="Month (Month Index)" attribute="1" defaultMemberUniqueName="[Table1].[Month (Month Index)].[All]" allUniqueName="[Table1].[Month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
        </ext>
      </extLst>
    </cacheHierarchy>
    <cacheHierarchy uniqueName="[Measures].[Sum of Customer Completion Rate]" caption="Sum of Customer Completion Rate" measure="1" displayFolder="" measureGroup="Table1" count="0" hidden="1">
      <extLst>
        <ext xmlns:x15="http://schemas.microsoft.com/office/spreadsheetml/2010/11/main" uri="{B97F6D7D-B522-45F9-BDA1-12C45D357490}">
          <x15:cacheHierarchy aggregatedColumn="9"/>
        </ext>
      </extLst>
    </cacheHierarchy>
    <cacheHierarchy uniqueName="[Measures].[Sum of Customers]" caption="Sum of Customers"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8.974756134259" backgroundQuery="1" createdVersion="8" refreshedVersion="8" minRefreshableVersion="3" recordCount="0" supportSubquery="1" supportAdvancedDrill="1" xr:uid="{F05BC22A-8E9F-4B45-A5DC-E6ABFDC0C430}">
  <cacheSource type="external" connectionId="1"/>
  <cacheFields count="2">
    <cacheField name="[Measures].[Sum of Profit]" caption="Sum of Profit" numFmtId="0" hierarchy="17" level="32767"/>
    <cacheField name="[Table1].[Region].[Region]" caption="Region" numFmtId="0" hierarchy="1" level="1">
      <sharedItems count="4">
        <s v="Brazil"/>
        <s v="Chicaco"/>
        <s v="Chile"/>
        <s v="Columbia"/>
      </sharedItems>
    </cacheField>
  </cacheFields>
  <cacheHierarchies count="18">
    <cacheHierarchy uniqueName="[Table1].[Month]" caption="Month" attribute="1" time="1" defaultMemberUniqueName="[Table1].[Month].[All]" allUniqueName="[Table1].[Month].[All]" dimensionUniqueName="[Table1]" displayFolder="" count="2" memberValueDatatype="7"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20" unbalanced="0"/>
    <cacheHierarchy uniqueName="[Table1].[Target Sales]" caption="Target Sales" attribute="1" defaultMemberUniqueName="[Table1].[Target Sales].[All]" allUniqueName="[Table1].[Target Sales].[All]" dimensionUniqueName="[Table1]" displayFolder="" count="2" memberValueDatatype="5" unbalanced="0"/>
    <cacheHierarchy uniqueName="[Table1].[Customers]" caption="Customers" attribute="1" defaultMemberUniqueName="[Table1].[Customers].[All]" allUniqueName="[Table1].[Customers].[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Sales Completion Rate]" caption="Sales Completion Rate" attribute="1" defaultMemberUniqueName="[Table1].[Sales Completion Rate].[All]" allUniqueName="[Table1].[Sales Completion Rate].[All]" dimensionUniqueName="[Table1]" displayFolder="" count="2" memberValueDatatype="5" unbalanced="0"/>
    <cacheHierarchy uniqueName="[Table1].[Profit Completion Rate]" caption="Profit Completion Rate" attribute="1" defaultMemberUniqueName="[Table1].[Profit Completion Rate].[All]" allUniqueName="[Table1].[Profit Completion Rate].[All]" dimensionUniqueName="[Table1]" displayFolder="" count="2" memberValueDatatype="5" unbalanced="0"/>
    <cacheHierarchy uniqueName="[Table1].[Customer Completion Rate]" caption="Customer Completion Rate" attribute="1" defaultMemberUniqueName="[Table1].[Customer Completion Rate].[All]" allUniqueName="[Table1].[Customer Completion Rate].[All]" dimensionUniqueName="[Table1]" displayFolder="" count="2" memberValueDatatype="5" unbalanced="0"/>
    <cacheHierarchy uniqueName="[Table1].[Month (Month)]" caption="Month (Month)" attribute="1" defaultMemberUniqueName="[Table1].[Month (Month)].[All]" allUniqueName="[Table1].[Month (Month)].[All]" dimensionUniqueName="[Table1]" displayFolder="" count="2" memberValueDatatype="130" unbalanced="0"/>
    <cacheHierarchy uniqueName="[Table1].[Month (Month Index)]" caption="Month (Month Index)" attribute="1" defaultMemberUniqueName="[Table1].[Month (Month Index)].[All]" allUniqueName="[Table1].[Month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
        </ext>
      </extLst>
    </cacheHierarchy>
    <cacheHierarchy uniqueName="[Measures].[Sum of Customer Completion Rate]" caption="Sum of Customer Completion Rate" measure="1" displayFolder="" measureGroup="Table1" count="0" hidden="1">
      <extLst>
        <ext xmlns:x15="http://schemas.microsoft.com/office/spreadsheetml/2010/11/main" uri="{B97F6D7D-B522-45F9-BDA1-12C45D357490}">
          <x15:cacheHierarchy aggregatedColumn="9"/>
        </ext>
      </extLst>
    </cacheHierarchy>
    <cacheHierarchy uniqueName="[Measures].[Sum of Customers]" caption="Sum of Customers"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8.97558460648" backgroundQuery="1" createdVersion="8" refreshedVersion="8" minRefreshableVersion="3" recordCount="0" supportSubquery="1" supportAdvancedDrill="1" xr:uid="{05CF2277-65CC-4487-85C1-96FEFB07DF97}">
  <cacheSource type="external" connectionId="1"/>
  <cacheFields count="3">
    <cacheField name="[Measures].[Sum of Sales]" caption="Sum of Sales" numFmtId="0" hierarchy="14" level="32767"/>
    <cacheField name="[Table1].[Month].[Month]" caption="Month" numFmtId="0" level="1">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cacheField>
    <cacheField name="[Table1].[Month (Month)].[Month (Month)]" caption="Month (Month)" numFmtId="0" hierarchy="10" level="1">
      <sharedItems count="9">
        <s v="Jan"/>
        <s v="Feb"/>
        <s v="Mar"/>
        <s v="Apr"/>
        <s v="May"/>
        <s v="Jun"/>
        <s v="Jul"/>
        <s v="Aug"/>
        <s v="Sep"/>
      </sharedItems>
    </cacheField>
  </cacheFields>
  <cacheHierarchies count="18">
    <cacheHierarchy uniqueName="[Table1].[Month]" caption="Month" attribute="1" time="1" defaultMemberUniqueName="[Table1].[Month].[All]" allUniqueName="[Table1].[Month].[All]" dimensionUniqueName="[Table1]" displayFolder="" count="2" memberValueDatatype="7" unbalanced="0">
      <fieldsUsage count="2">
        <fieldUsage x="-1"/>
        <fieldUsage x="1"/>
      </fieldsUsage>
    </cacheHierarchy>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Target Sales]" caption="Target Sales" attribute="1" defaultMemberUniqueName="[Table1].[Target Sales].[All]" allUniqueName="[Table1].[Target Sales].[All]" dimensionUniqueName="[Table1]" displayFolder="" count="0" memberValueDatatype="5" unbalanced="0"/>
    <cacheHierarchy uniqueName="[Table1].[Customers]" caption="Customers" attribute="1" defaultMemberUniqueName="[Table1].[Customers].[All]" allUniqueName="[Table1].[Customers].[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Sales Completion Rate]" caption="Sales Completion Rate" attribute="1" defaultMemberUniqueName="[Table1].[Sales Completion Rate].[All]" allUniqueName="[Table1].[Sales Completion Rate].[All]" dimensionUniqueName="[Table1]" displayFolder="" count="0" memberValueDatatype="5" unbalanced="0"/>
    <cacheHierarchy uniqueName="[Table1].[Profit Completion Rate]" caption="Profit Completion Rate" attribute="1" defaultMemberUniqueName="[Table1].[Profit Completion Rate].[All]" allUniqueName="[Table1].[Profit Completion Rate].[All]" dimensionUniqueName="[Table1]" displayFolder="" count="0" memberValueDatatype="5" unbalanced="0"/>
    <cacheHierarchy uniqueName="[Table1].[Customer Completion Rate]" caption="Customer Completion Rate" attribute="1" defaultMemberUniqueName="[Table1].[Customer Completion Rate].[All]" allUniqueName="[Table1].[Customer Completion Rate].[All]" dimensionUniqueName="[Table1]" displayFolder="" count="0" memberValueDatatype="5"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2"/>
      </fieldsUsage>
    </cacheHierarchy>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Customer Completion Rate]" caption="Sum of Customer Completion Rate" measure="1" displayFolder="" measureGroup="Table1" count="0" hidden="1">
      <extLst>
        <ext xmlns:x15="http://schemas.microsoft.com/office/spreadsheetml/2010/11/main" uri="{B97F6D7D-B522-45F9-BDA1-12C45D357490}">
          <x15:cacheHierarchy aggregatedColumn="9"/>
        </ext>
      </extLst>
    </cacheHierarchy>
    <cacheHierarchy uniqueName="[Measures].[Sum of Customers]" caption="Sum of Customers"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8.975585300926" backgroundQuery="1" createdVersion="8" refreshedVersion="8" minRefreshableVersion="3" recordCount="0" supportSubquery="1" supportAdvancedDrill="1" xr:uid="{D4052138-80FC-4188-A659-BEC38AB34760}">
  <cacheSource type="external" connectionId="1"/>
  <cacheFields count="3">
    <cacheField name="[Table1].[Month].[Month]" caption="Month" numFmtId="0" level="1">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cacheField>
    <cacheField name="[Table1].[Month (Month)].[Month (Month)]" caption="Month (Month)" numFmtId="0" hierarchy="10" level="1">
      <sharedItems count="9">
        <s v="Jan"/>
        <s v="Feb"/>
        <s v="Mar"/>
        <s v="Apr"/>
        <s v="May"/>
        <s v="Jun"/>
        <s v="Jul"/>
        <s v="Aug"/>
        <s v="Sep"/>
      </sharedItems>
    </cacheField>
    <cacheField name="[Measures].[Sum of Customers]" caption="Sum of Customers" numFmtId="0" hierarchy="16" level="32767"/>
  </cacheFields>
  <cacheHierarchies count="18">
    <cacheHierarchy uniqueName="[Table1].[Month]" caption="Month" attribute="1" time="1" defaultMemberUniqueName="[Table1].[Month].[All]" allUniqueName="[Table1].[Month].[All]" dimensionUniqueName="[Table1]" displayFolder="" count="2" memberValueDatatype="7"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20" unbalanced="0"/>
    <cacheHierarchy uniqueName="[Table1].[Target Sales]" caption="Target Sales" attribute="1" defaultMemberUniqueName="[Table1].[Target Sales].[All]" allUniqueName="[Table1].[Target Sales].[All]" dimensionUniqueName="[Table1]" displayFolder="" count="2" memberValueDatatype="5" unbalanced="0"/>
    <cacheHierarchy uniqueName="[Table1].[Customers]" caption="Customers" attribute="1" defaultMemberUniqueName="[Table1].[Customers].[All]" allUniqueName="[Table1].[Customers].[All]" dimensionUniqueName="[Table1]" displayFolder="" count="2"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Sales Completion Rate]" caption="Sales Completion Rate" attribute="1" defaultMemberUniqueName="[Table1].[Sales Completion Rate].[All]" allUniqueName="[Table1].[Sales Completion Rate].[All]" dimensionUniqueName="[Table1]" displayFolder="" count="2" memberValueDatatype="5" unbalanced="0"/>
    <cacheHierarchy uniqueName="[Table1].[Profit Completion Rate]" caption="Profit Completion Rate" attribute="1" defaultMemberUniqueName="[Table1].[Profit Completion Rate].[All]" allUniqueName="[Table1].[Profit Completion Rate].[All]" dimensionUniqueName="[Table1]" displayFolder="" count="2" memberValueDatatype="5" unbalanced="0"/>
    <cacheHierarchy uniqueName="[Table1].[Customer Completion Rate]" caption="Customer Completion Rate" attribute="1" defaultMemberUniqueName="[Table1].[Customer Completion Rate].[All]" allUniqueName="[Table1].[Customer Completion Rate].[All]" dimensionUniqueName="[Table1]" displayFolder="" count="2" memberValueDatatype="5" unbalanced="0"/>
    <cacheHierarchy uniqueName="[Table1].[Month (Month)]" caption="Month (Month)" attribute="1" defaultMemberUniqueName="[Table1].[Month (Month)].[All]" allUniqueName="[Table1].[Month (Month)].[All]" dimensionUniqueName="[Table1]" displayFolder="" count="2" memberValueDatatype="130" unbalanced="0">
      <fieldsUsage count="2">
        <fieldUsage x="-1"/>
        <fieldUsage x="1"/>
      </fieldsUsage>
    </cacheHierarchy>
    <cacheHierarchy uniqueName="[Table1].[Month (Month Index)]" caption="Month (Month Index)" attribute="1" defaultMemberUniqueName="[Table1].[Month (Month Index)].[All]" allUniqueName="[Table1].[Month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
        </ext>
      </extLst>
    </cacheHierarchy>
    <cacheHierarchy uniqueName="[Measures].[Sum of Customer Completion Rate]" caption="Sum of Customer Completion Rate" measure="1" displayFolder="" measureGroup="Table1" count="0" hidden="1">
      <extLst>
        <ext xmlns:x15="http://schemas.microsoft.com/office/spreadsheetml/2010/11/main" uri="{B97F6D7D-B522-45F9-BDA1-12C45D357490}">
          <x15:cacheHierarchy aggregatedColumn="9"/>
        </ext>
      </extLst>
    </cacheHierarchy>
    <cacheHierarchy uniqueName="[Measures].[Sum of Customers]" caption="Sum of Customers"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1.846490162039" backgroundQuery="1" createdVersion="3" refreshedVersion="8" minRefreshableVersion="3" recordCount="0" supportSubquery="1" supportAdvancedDrill="1" xr:uid="{431F374A-9D34-42AC-BFE8-E972667DA673}">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Month]" caption="Month" attribute="1" time="1" defaultMemberUniqueName="[Table1].[Month].[All]" allUniqueName="[Table1].[Month].[All]" dimensionUniqueName="[Table1]" displayFolder="" count="0" memberValueDatatype="7" unbalanced="0"/>
    <cacheHierarchy uniqueName="[Table1].[Region]" caption="Region" attribute="1" defaultMemberUniqueName="[Table1].[Region].[All]" allUniqueName="[Table1].[Region].[All]" dimensionUniqueName="[Table1]" displayFolder="" count="2"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Target Sales]" caption="Target Sales" attribute="1" defaultMemberUniqueName="[Table1].[Target Sales].[All]" allUniqueName="[Table1].[Target Sales].[All]" dimensionUniqueName="[Table1]" displayFolder="" count="0" memberValueDatatype="5" unbalanced="0"/>
    <cacheHierarchy uniqueName="[Table1].[Customers]" caption="Customers" attribute="1" defaultMemberUniqueName="[Table1].[Customers].[All]" allUniqueName="[Table1].[Customers].[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Sales Completion Rate]" caption="Sales Completion Rate" attribute="1" defaultMemberUniqueName="[Table1].[Sales Completion Rate].[All]" allUniqueName="[Table1].[Sales Completion Rate].[All]" dimensionUniqueName="[Table1]" displayFolder="" count="0" memberValueDatatype="5" unbalanced="0"/>
    <cacheHierarchy uniqueName="[Table1].[Profit Completion Rate]" caption="Profit Completion Rate" attribute="1" defaultMemberUniqueName="[Table1].[Profit Completion Rate].[All]" allUniqueName="[Table1].[Profit Completion Rate].[All]" dimensionUniqueName="[Table1]" displayFolder="" count="0" memberValueDatatype="5" unbalanced="0"/>
    <cacheHierarchy uniqueName="[Table1].[Customer Completion Rate]" caption="Customer Completion Rate" attribute="1" defaultMemberUniqueName="[Table1].[Customer Completion Rate].[All]" allUniqueName="[Table1].[Customer Completion Rate].[All]" dimensionUniqueName="[Table1]" displayFolder="" count="0" memberValueDatatype="5" unbalanced="0"/>
    <cacheHierarchy uniqueName="[Table1].[Month (Month)]" caption="Month (Month)" attribute="1" defaultMemberUniqueName="[Table1].[Month (Month)].[All]" allUniqueName="[Table1].[Month (Month)].[All]" dimensionUniqueName="[Table1]" displayFolder="" count="2" memberValueDatatype="130" unbalanced="0"/>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
        </ext>
      </extLst>
    </cacheHierarchy>
    <cacheHierarchy uniqueName="[Measures].[Sum of Customer Completion Rate]" caption="Sum of Customer Completion Rate" measure="1" displayFolder="" measureGroup="Table1" count="0" hidden="1">
      <extLst>
        <ext xmlns:x15="http://schemas.microsoft.com/office/spreadsheetml/2010/11/main" uri="{B97F6D7D-B522-45F9-BDA1-12C45D357490}">
          <x15:cacheHierarchy aggregatedColumn="9"/>
        </ext>
      </extLst>
    </cacheHierarchy>
    <cacheHierarchy uniqueName="[Measures].[Sum of Customers]" caption="Sum of Customers"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207807178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711.842831481481" backgroundQuery="1" createdVersion="3" refreshedVersion="8" minRefreshableVersion="3" recordCount="0" supportSubquery="1" supportAdvancedDrill="1" xr:uid="{FECFE019-E411-4981-A1CE-AD100925218D}">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Table1].[Month]" caption="Month" attribute="1" time="1" defaultMemberUniqueName="[Table1].[Month].[All]" allUniqueName="[Table1].[Month].[All]" dimensionUniqueName="[Table1]" displayFolder="" count="2" memberValueDatatype="7" unbalanced="0"/>
    <cacheHierarchy uniqueName="[Table1].[Region]" caption="Region" attribute="1" defaultMemberUniqueName="[Table1].[Region].[All]" allUniqueName="[Table1].[Region].[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20" unbalanced="0"/>
    <cacheHierarchy uniqueName="[Table1].[Target Sales]" caption="Target Sales" attribute="1" defaultMemberUniqueName="[Table1].[Target Sales].[All]" allUniqueName="[Table1].[Target Sales].[All]" dimensionUniqueName="[Table1]" displayFolder="" count="0" memberValueDatatype="5" unbalanced="0"/>
    <cacheHierarchy uniqueName="[Table1].[Customers]" caption="Customers" attribute="1" defaultMemberUniqueName="[Table1].[Customers].[All]" allUniqueName="[Table1].[Customers].[All]" dimensionUniqueName="[Table1]" displayFolder="" count="0" memberValueDatatype="20" unbalanced="0"/>
    <cacheHierarchy uniqueName="[Table1].[Quarter]" caption="Quarter" attribute="1" defaultMemberUniqueName="[Table1].[Quarter].[All]" allUniqueName="[Table1].[Quarter].[All]" dimensionUniqueName="[Table1]" displayFolder="" count="0" memberValueDatatype="130" unbalanced="0"/>
    <cacheHierarchy uniqueName="[Table1].[Sales Completion Rate]" caption="Sales Completion Rate" attribute="1" defaultMemberUniqueName="[Table1].[Sales Completion Rate].[All]" allUniqueName="[Table1].[Sales Completion Rate].[All]" dimensionUniqueName="[Table1]" displayFolder="" count="0" memberValueDatatype="5" unbalanced="0"/>
    <cacheHierarchy uniqueName="[Table1].[Profit Completion Rate]" caption="Profit Completion Rate" attribute="1" defaultMemberUniqueName="[Table1].[Profit Completion Rate].[All]" allUniqueName="[Table1].[Profit Completion Rate].[All]" dimensionUniqueName="[Table1]" displayFolder="" count="0" memberValueDatatype="5" unbalanced="0"/>
    <cacheHierarchy uniqueName="[Table1].[Customer Completion Rate]" caption="Customer Completion Rate" attribute="1" defaultMemberUniqueName="[Table1].[Customer Completion Rate].[All]" allUniqueName="[Table1].[Customer Completion Rate].[All]" dimensionUniqueName="[Table1]" displayFolder="" count="0" memberValueDatatype="5" unbalanced="0"/>
    <cacheHierarchy uniqueName="[Table1].[Month (Month)]" caption="Month (Month)" attribute="1" defaultMemberUniqueName="[Table1].[Month (Month)].[All]" allUniqueName="[Table1].[Month (Month)].[All]" dimensionUniqueName="[Table1]" displayFolder="" count="0" memberValueDatatype="130" unbalanced="0"/>
    <cacheHierarchy uniqueName="[Table1].[Month (Month Index)]" caption="Month (Month Index)" attribute="1" defaultMemberUniqueName="[Table1].[Month (Month Index)].[All]" allUniqueName="[Table1].[Month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
        </ext>
      </extLst>
    </cacheHierarchy>
    <cacheHierarchy uniqueName="[Measures].[Sum of Customer Completion Rate]" caption="Sum of Customer Completion Rate" measure="1" displayFolder="" measureGroup="Table1" count="0" hidden="1">
      <extLst>
        <ext xmlns:x15="http://schemas.microsoft.com/office/spreadsheetml/2010/11/main" uri="{B97F6D7D-B522-45F9-BDA1-12C45D357490}">
          <x15:cacheHierarchy aggregatedColumn="9"/>
        </ext>
      </extLst>
    </cacheHierarchy>
    <cacheHierarchy uniqueName="[Measures].[Sum of Customers]" caption="Sum of Customers" measure="1" displayFolder="" measureGroup="Table1"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6446756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60FB89-AB2D-404B-A00B-2FE018CBBD3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1"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items count="9">
        <item x="0" e="0"/>
        <item x="1" e="0"/>
        <item x="2" e="0"/>
        <item x="3" e="0"/>
        <item x="4" e="0"/>
        <item x="5" e="0"/>
        <item x="6" e="0"/>
        <item x="7" e="0"/>
        <item x="8" e="0"/>
      </items>
    </pivotField>
  </pivotFields>
  <rowFields count="2">
    <field x="2"/>
    <field x="1"/>
  </rowFields>
  <rowItems count="10">
    <i>
      <x/>
    </i>
    <i>
      <x v="1"/>
    </i>
    <i>
      <x v="2"/>
    </i>
    <i>
      <x v="3"/>
    </i>
    <i>
      <x v="4"/>
    </i>
    <i>
      <x v="5"/>
    </i>
    <i>
      <x v="6"/>
    </i>
    <i>
      <x v="7"/>
    </i>
    <i>
      <x v="8"/>
    </i>
    <i t="grand">
      <x/>
    </i>
  </rowItems>
  <colItems count="1">
    <i/>
  </colItems>
  <dataFields count="1">
    <dataField name="Sum of Sales" fld="0"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45FEA6-5750-43F9-95FF-3C3863107D0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12"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s>
  <rowFields count="2">
    <field x="1"/>
    <field x="0"/>
  </rowFields>
  <rowItems count="10">
    <i>
      <x/>
    </i>
    <i>
      <x v="1"/>
    </i>
    <i>
      <x v="2"/>
    </i>
    <i>
      <x v="3"/>
    </i>
    <i>
      <x v="4"/>
    </i>
    <i>
      <x v="5"/>
    </i>
    <i>
      <x v="6"/>
    </i>
    <i>
      <x v="7"/>
    </i>
    <i>
      <x v="8"/>
    </i>
    <i t="grand">
      <x/>
    </i>
  </rowItems>
  <colItems count="1">
    <i/>
  </colItems>
  <dataFields count="1">
    <dataField name="Sum of Customers"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DD9D29-EEC7-4A1B-989E-666E9B56BBD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7" firstHeaderRow="1" firstDataRow="1" firstDataCol="1"/>
  <pivotFields count="2">
    <pivotField dataField="1" subtotalTop="0" showAll="0" defaultSubtotal="0"/>
    <pivotField axis="axisRow" allDrilled="1" subtotalTop="0" showAll="0" dataSourceSort="1" defaultSubtotal="0" defaultAttributeDrillState="1">
      <items count="4">
        <item s="1" x="0"/>
        <item s="1" x="1"/>
        <item s="1" x="2"/>
        <item s="1" x="3"/>
      </items>
    </pivotField>
  </pivotFields>
  <rowFields count="1">
    <field x="1"/>
  </rowFields>
  <rowItems count="5">
    <i>
      <x/>
    </i>
    <i>
      <x v="1"/>
    </i>
    <i>
      <x v="2"/>
    </i>
    <i>
      <x v="3"/>
    </i>
    <i t="grand">
      <x/>
    </i>
  </rowItems>
  <colItems count="1">
    <i/>
  </colItems>
  <dataFields count="1">
    <dataField name="Sum of Profit"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BB9E8E-AAE6-4461-8B9F-892347F6A5AE}" name="PivotTable4"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A1:B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1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0" format="6">
      <pivotArea type="data" outline="0" fieldPosition="0">
        <references count="2">
          <reference field="4294967294" count="1" selected="0">
            <x v="0"/>
          </reference>
          <reference field="1"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 count="1" selected="0">
            <x v="0"/>
          </reference>
        </references>
      </pivotArea>
    </chartFormat>
    <chartFormat chart="9" format="15">
      <pivotArea type="data" outline="0" fieldPosition="0">
        <references count="2">
          <reference field="4294967294" count="1" selected="0">
            <x v="0"/>
          </reference>
          <reference field="1" count="1" selected="0">
            <x v="1"/>
          </reference>
        </references>
      </pivotArea>
    </chartFormat>
    <chartFormat chart="9" format="16">
      <pivotArea type="data" outline="0" fieldPosition="0">
        <references count="2">
          <reference field="4294967294" count="1" selected="0">
            <x v="0"/>
          </reference>
          <reference field="1" count="1" selected="0">
            <x v="2"/>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Table1].[Month]">
      <autoFilter ref="A1">
        <filterColumn colId="0">
          <customFilters and="1">
            <customFilter operator="greaterThanOrEqual" val="44927"/>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F3B5A9-00FA-4BE3-88EF-DF13BF8DE132}" sourceName="[Table1].[Region]">
  <pivotTables>
    <pivotTable tabId="4" name="PivotTable3"/>
  </pivotTables>
  <data>
    <olap pivotCacheId="2078071785">
      <levels count="2">
        <level uniqueName="[Table1].[Region].[(All)]" sourceCaption="(All)" count="0"/>
        <level uniqueName="[Table1].[Region].[Region]" sourceCaption="Region" count="7">
          <ranges>
            <range startItem="0">
              <i n="[Table1].[Region].&amp;[Argentina]" c="Argentina"/>
              <i n="[Table1].[Region].&amp;[Brazil]" c="Brazil"/>
              <i n="[Table1].[Region].&amp;[Chicaco]" c="Chicaco"/>
              <i n="[Table1].[Region].&amp;[Chile]" c="Chile"/>
              <i n="[Table1].[Region].&amp;[Columbia]" c="Columbia"/>
              <i n="[Table1].[Region].&amp;[Los Angeles]" c="Los Angeles"/>
              <i n="[Table1].[Region].&amp;[Peru]" c="Peru"/>
            </range>
          </ranges>
        </level>
      </levels>
      <selections count="4">
        <selection n="[Table1].[Region].&amp;[Brazil]"/>
        <selection n="[Table1].[Region].&amp;[Chicaco]"/>
        <selection n="[Table1].[Region].&amp;[Chile]"/>
        <selection n="[Table1].[Region].&amp;[Columb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BDA75B08-A06E-41B5-87AD-69ECD572C6CB}" sourceName="[Table1].[Month (Month)]">
  <pivotTables>
    <pivotTable tabId="3" name="PivotTable2"/>
    <pivotTable tabId="2" name="PivotTable1"/>
  </pivotTables>
  <data>
    <olap pivotCacheId="2078071785">
      <levels count="2">
        <level uniqueName="[Table1].[Month (Month)].[(All)]" sourceCaption="(All)" count="0"/>
        <level uniqueName="[Table1].[Month (Month)].[Month (Month)]" sourceCaption="Month (Month)" count="9">
          <ranges>
            <range startItem="0">
              <i n="[Table1].[Month (Month)].&amp;[Jan]" c="Jan"/>
              <i n="[Table1].[Month (Month)].&amp;[Feb]" c="Feb"/>
              <i n="[Table1].[Month (Month)].&amp;[Mar]" c="Mar"/>
              <i n="[Table1].[Month (Month)].&amp;[Apr]" c="Apr"/>
              <i n="[Table1].[Month (Month)].&amp;[May]" c="May"/>
              <i n="[Table1].[Month (Month)].&amp;[Jun]" c="Jun"/>
              <i n="[Table1].[Month (Month)].&amp;[Jul]" c="Jul"/>
              <i n="[Table1].[Month (Month)].&amp;[Aug]" c="Aug"/>
              <i n="[Table1].[Month (Month)].&amp;[Sep]" c="Sep"/>
            </range>
          </ranges>
        </level>
      </levels>
      <selections count="1">
        <selection n="[Table1].[Month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D91AB7B-5425-4BBE-BE7A-21F5FC29D8A1}" cache="Slicer_Region" caption="Region" level="1" rowHeight="247650"/>
  <slicer name="Month (Month)" xr10:uid="{BBFC6EF0-CBF7-4C46-8853-1E4BA964F281}" cache="Slicer_Month__Month" caption="Month (Month)" columnCount="3"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FCB787-1B81-4FED-847F-E6F2BC506903}" name="Table1" displayName="Table1" ref="A1:K64" totalsRowShown="0" dataDxfId="7" headerRowCellStyle="Normal 2" dataCellStyle="Normal 2">
  <autoFilter ref="A1:K64" xr:uid="{74FCB787-1B81-4FED-847F-E6F2BC506903}"/>
  <tableColumns count="11">
    <tableColumn id="1" xr3:uid="{85215090-2875-49C5-BADD-93D010382D85}" name="Month" dataDxfId="6" dataCellStyle="Normal 2"/>
    <tableColumn id="2" xr3:uid="{49B3D85A-734B-4E0E-897A-E1F546B18A16}" name="Region" dataCellStyle="Normal 2"/>
    <tableColumn id="3" xr3:uid="{F21D4E75-30EC-4ED5-91C1-36F21A58E4B0}" name="Sales" dataDxfId="5" dataCellStyle="Normal 2"/>
    <tableColumn id="4" xr3:uid="{E6A614E3-D372-4136-9BB7-C3E882568FC9}" name="Profit" dataCellStyle="Normal 2"/>
    <tableColumn id="5" xr3:uid="{4D95916F-A227-4704-B153-15DDA75CB59C}" name="Target Sales" dataDxfId="4" dataCellStyle="Normal 2"/>
    <tableColumn id="6" xr3:uid="{3DB77315-C625-41D9-948B-38135F535DD9}" name="Customers" dataCellStyle="Normal 2"/>
    <tableColumn id="7" xr3:uid="{AB04B7FC-0D8B-46F0-94FC-3153C805FAFC}" name="Quarter" dataCellStyle="Normal 2"/>
    <tableColumn id="8" xr3:uid="{52F97E76-DBFC-4B44-ACEE-FA7336E1A078}" name="Sales Completion Rate" dataDxfId="3" dataCellStyle="Normal 2"/>
    <tableColumn id="9" xr3:uid="{2CBC8253-BEFC-4010-A552-56A434CBB3FB}" name="Profit Completion Rate" dataDxfId="2" dataCellStyle="Normal 2"/>
    <tableColumn id="10" xr3:uid="{6CADF378-98E3-4EE8-88FC-4A00C2278AF6}" name="Customer Completion Rate" dataDxfId="1" dataCellStyle="Normal 2"/>
    <tableColumn id="11" xr3:uid="{BA0F6A18-EC3B-4212-A471-E887AD849FBE}" name="Column1" dataDxfId="0" dataCellStyle="Normal 2"/>
  </tableColumns>
  <tableStyleInfo name="Data-style"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1" xr10:uid="{D7FFF2CE-C0BA-4745-85D7-DEC7745F6405}" sourceName="[Table1].[Month]">
  <pivotTables>
    <pivotTable tabId="5" name="PivotTable4"/>
  </pivotTables>
  <state minimalRefreshVersion="6" lastRefreshVersion="6" pivotCacheId="644675689" filterType="dateBetween">
    <selection startDate="2023-01-01T00:00:00" endDate="2023-09-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 xr10:uid="{7FCB384F-63A8-49D3-BC60-1CDB03D53BEE}" cache="Timeline_Month1" caption="Quarters"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88C6-F91A-4B20-9D81-9B6ECE0CFA38}">
  <dimension ref="A1:K64"/>
  <sheetViews>
    <sheetView workbookViewId="0">
      <selection activeCell="M22" sqref="M22"/>
    </sheetView>
  </sheetViews>
  <sheetFormatPr defaultRowHeight="14.4" x14ac:dyDescent="0.3"/>
  <cols>
    <col min="1" max="1" width="8.44140625" customWidth="1"/>
    <col min="2" max="2" width="11.6640625" bestFit="1" customWidth="1"/>
    <col min="3" max="4" width="8.44140625" bestFit="1" customWidth="1"/>
    <col min="5" max="5" width="13.77734375" customWidth="1"/>
    <col min="6" max="6" width="12.77734375" customWidth="1"/>
    <col min="7" max="7" width="10.5546875" bestFit="1" customWidth="1"/>
    <col min="8" max="8" width="23.21875" customWidth="1"/>
    <col min="9" max="9" width="23.109375" customWidth="1"/>
    <col min="10" max="10" width="27.21875" customWidth="1"/>
    <col min="11" max="11" width="20.21875" bestFit="1" customWidth="1"/>
  </cols>
  <sheetData>
    <row r="1" spans="1:11" ht="15.6" x14ac:dyDescent="0.3">
      <c r="A1" s="1" t="s">
        <v>10</v>
      </c>
      <c r="B1" s="1" t="s">
        <v>11</v>
      </c>
      <c r="C1" s="1" t="s">
        <v>12</v>
      </c>
      <c r="D1" s="1" t="s">
        <v>13</v>
      </c>
      <c r="E1" s="1" t="s">
        <v>14</v>
      </c>
      <c r="F1" s="1" t="s">
        <v>15</v>
      </c>
      <c r="G1" s="1" t="s">
        <v>16</v>
      </c>
      <c r="H1" s="1" t="s">
        <v>17</v>
      </c>
      <c r="I1" s="1" t="s">
        <v>18</v>
      </c>
      <c r="J1" s="1" t="s">
        <v>19</v>
      </c>
      <c r="K1" s="1" t="s">
        <v>35</v>
      </c>
    </row>
    <row r="2" spans="1:11" ht="15.6" x14ac:dyDescent="0.3">
      <c r="A2" s="2">
        <v>44927</v>
      </c>
      <c r="B2" s="1" t="s">
        <v>0</v>
      </c>
      <c r="C2" s="3">
        <v>5000</v>
      </c>
      <c r="D2" s="3">
        <v>2581</v>
      </c>
      <c r="E2" s="3">
        <v>2857.1428571428573</v>
      </c>
      <c r="F2" s="1">
        <v>80</v>
      </c>
      <c r="G2" s="3" t="s">
        <v>1</v>
      </c>
      <c r="H2" s="4">
        <v>0.89</v>
      </c>
      <c r="I2" s="4">
        <v>0.85</v>
      </c>
      <c r="J2" s="4">
        <v>0.72</v>
      </c>
      <c r="K2" s="4"/>
    </row>
    <row r="3" spans="1:11" ht="15.6" x14ac:dyDescent="0.3">
      <c r="A3" s="2">
        <v>44927</v>
      </c>
      <c r="B3" s="1" t="s">
        <v>2</v>
      </c>
      <c r="C3" s="3">
        <v>3500</v>
      </c>
      <c r="D3" s="3">
        <v>3944</v>
      </c>
      <c r="E3" s="3">
        <v>2857.1428571428573</v>
      </c>
      <c r="F3" s="1">
        <v>30</v>
      </c>
      <c r="G3" s="3" t="s">
        <v>1</v>
      </c>
      <c r="H3" s="4">
        <v>0.94</v>
      </c>
      <c r="I3" s="4">
        <v>0.95</v>
      </c>
      <c r="J3" s="4">
        <v>0.86</v>
      </c>
      <c r="K3" s="4"/>
    </row>
    <row r="4" spans="1:11" ht="15.6" x14ac:dyDescent="0.3">
      <c r="A4" s="2">
        <v>44927</v>
      </c>
      <c r="B4" s="1" t="s">
        <v>3</v>
      </c>
      <c r="C4" s="3">
        <v>1500</v>
      </c>
      <c r="D4" s="1">
        <v>3293</v>
      </c>
      <c r="E4" s="3">
        <v>2857.1428571428573</v>
      </c>
      <c r="F4" s="1">
        <v>15</v>
      </c>
      <c r="G4" s="3" t="s">
        <v>1</v>
      </c>
      <c r="H4" s="4">
        <v>0.82</v>
      </c>
      <c r="I4" s="4">
        <v>0.8</v>
      </c>
      <c r="J4" s="4">
        <v>0.76</v>
      </c>
      <c r="K4" s="4"/>
    </row>
    <row r="5" spans="1:11" ht="15.6" x14ac:dyDescent="0.3">
      <c r="A5" s="2">
        <v>44927</v>
      </c>
      <c r="B5" s="1" t="s">
        <v>4</v>
      </c>
      <c r="C5" s="3">
        <v>1500</v>
      </c>
      <c r="D5" s="1">
        <v>2019</v>
      </c>
      <c r="E5" s="3">
        <v>2857.1428571428573</v>
      </c>
      <c r="F5" s="1">
        <v>40</v>
      </c>
      <c r="G5" s="3" t="s">
        <v>1</v>
      </c>
      <c r="H5" s="4">
        <v>0.79</v>
      </c>
      <c r="I5" s="4">
        <v>0.79</v>
      </c>
      <c r="J5" s="4">
        <v>0.79</v>
      </c>
      <c r="K5" s="4"/>
    </row>
    <row r="6" spans="1:11" ht="15.6" x14ac:dyDescent="0.3">
      <c r="A6" s="2">
        <v>44927</v>
      </c>
      <c r="B6" s="1" t="s">
        <v>5</v>
      </c>
      <c r="C6" s="3">
        <v>6000</v>
      </c>
      <c r="D6" s="1">
        <v>2980</v>
      </c>
      <c r="E6" s="3">
        <v>2857.1428571428573</v>
      </c>
      <c r="F6" s="1">
        <v>100</v>
      </c>
      <c r="G6" s="3" t="s">
        <v>1</v>
      </c>
      <c r="H6" s="4">
        <v>0.96</v>
      </c>
      <c r="I6" s="4">
        <v>0.79</v>
      </c>
      <c r="J6" s="4">
        <v>0.7</v>
      </c>
      <c r="K6" s="4"/>
    </row>
    <row r="7" spans="1:11" ht="15.6" x14ac:dyDescent="0.3">
      <c r="A7" s="2">
        <v>44927</v>
      </c>
      <c r="B7" s="1" t="s">
        <v>6</v>
      </c>
      <c r="C7" s="3">
        <v>2500</v>
      </c>
      <c r="D7" s="1">
        <v>2209</v>
      </c>
      <c r="E7" s="3">
        <v>2857.1428571428573</v>
      </c>
      <c r="F7" s="1">
        <v>15</v>
      </c>
      <c r="G7" s="3" t="s">
        <v>1</v>
      </c>
      <c r="H7" s="4">
        <v>0.79</v>
      </c>
      <c r="I7" s="4">
        <v>0.79</v>
      </c>
      <c r="J7" s="4">
        <v>0.77</v>
      </c>
      <c r="K7" s="4"/>
    </row>
    <row r="8" spans="1:11" ht="15.6" x14ac:dyDescent="0.3">
      <c r="A8" s="2">
        <v>44927</v>
      </c>
      <c r="B8" s="1" t="s">
        <v>7</v>
      </c>
      <c r="C8" s="3">
        <v>10000</v>
      </c>
      <c r="D8" s="1">
        <v>2440</v>
      </c>
      <c r="E8" s="3">
        <v>2857.1428571428573</v>
      </c>
      <c r="F8" s="1">
        <v>20</v>
      </c>
      <c r="G8" s="3" t="s">
        <v>1</v>
      </c>
      <c r="H8" s="4">
        <v>0.75</v>
      </c>
      <c r="I8" s="4">
        <v>0.72</v>
      </c>
      <c r="J8" s="4">
        <v>0.93</v>
      </c>
      <c r="K8" s="4" t="s">
        <v>34</v>
      </c>
    </row>
    <row r="9" spans="1:11" ht="15.6" x14ac:dyDescent="0.3">
      <c r="A9" s="2">
        <v>44958</v>
      </c>
      <c r="B9" s="1" t="s">
        <v>0</v>
      </c>
      <c r="C9" s="3">
        <v>5000</v>
      </c>
      <c r="D9" s="3">
        <v>2000</v>
      </c>
      <c r="E9" s="3">
        <v>1428.5714285714287</v>
      </c>
      <c r="F9" s="1">
        <v>90</v>
      </c>
      <c r="G9" s="3" t="s">
        <v>1</v>
      </c>
      <c r="H9" s="4">
        <v>0.92</v>
      </c>
      <c r="I9" s="4">
        <v>0.99</v>
      </c>
      <c r="J9" s="4">
        <v>0.74</v>
      </c>
      <c r="K9" s="9">
        <f>SUM(C:C)</f>
        <v>754940.69999999937</v>
      </c>
    </row>
    <row r="10" spans="1:11" ht="15.6" x14ac:dyDescent="0.3">
      <c r="A10" s="2">
        <v>44958</v>
      </c>
      <c r="B10" s="1" t="s">
        <v>2</v>
      </c>
      <c r="C10" s="3">
        <v>15000</v>
      </c>
      <c r="D10" s="3">
        <v>14431</v>
      </c>
      <c r="E10" s="3">
        <v>1428.5714285714287</v>
      </c>
      <c r="F10" s="1">
        <v>30</v>
      </c>
      <c r="G10" s="3" t="s">
        <v>1</v>
      </c>
      <c r="H10" s="4">
        <v>0.7</v>
      </c>
      <c r="I10" s="4">
        <v>0.99</v>
      </c>
      <c r="J10" s="4">
        <v>0.95</v>
      </c>
      <c r="K10" s="4"/>
    </row>
    <row r="11" spans="1:11" ht="15.6" x14ac:dyDescent="0.3">
      <c r="A11" s="2">
        <v>44958</v>
      </c>
      <c r="B11" s="1" t="s">
        <v>3</v>
      </c>
      <c r="C11" s="3">
        <v>1500</v>
      </c>
      <c r="D11" s="1">
        <v>3000</v>
      </c>
      <c r="E11" s="3">
        <v>1428.5714285714287</v>
      </c>
      <c r="F11" s="1">
        <v>15</v>
      </c>
      <c r="G11" s="3" t="s">
        <v>1</v>
      </c>
      <c r="H11" s="4">
        <v>0.91</v>
      </c>
      <c r="I11" s="4">
        <v>0.98</v>
      </c>
      <c r="J11" s="4">
        <v>0.89</v>
      </c>
      <c r="K11" s="4"/>
    </row>
    <row r="12" spans="1:11" ht="15.6" x14ac:dyDescent="0.3">
      <c r="A12" s="2">
        <v>44958</v>
      </c>
      <c r="B12" s="1" t="s">
        <v>4</v>
      </c>
      <c r="C12" s="3">
        <v>3500</v>
      </c>
      <c r="D12" s="1">
        <v>4000</v>
      </c>
      <c r="E12" s="3">
        <v>1428.5714285714287</v>
      </c>
      <c r="F12" s="1">
        <v>40</v>
      </c>
      <c r="G12" s="3" t="s">
        <v>1</v>
      </c>
      <c r="H12" s="4">
        <v>0.74</v>
      </c>
      <c r="I12" s="4">
        <v>0.85</v>
      </c>
      <c r="J12" s="4">
        <v>0.7</v>
      </c>
      <c r="K12" s="4" t="s">
        <v>36</v>
      </c>
    </row>
    <row r="13" spans="1:11" ht="15.6" x14ac:dyDescent="0.3">
      <c r="A13" s="2">
        <v>44958</v>
      </c>
      <c r="B13" s="1" t="s">
        <v>5</v>
      </c>
      <c r="C13" s="3">
        <v>6000</v>
      </c>
      <c r="D13" s="1">
        <v>2000</v>
      </c>
      <c r="E13" s="3">
        <v>1428.5714285714287</v>
      </c>
      <c r="F13" s="1">
        <v>100</v>
      </c>
      <c r="G13" s="3" t="s">
        <v>1</v>
      </c>
      <c r="H13" s="4">
        <v>0.9</v>
      </c>
      <c r="I13" s="4">
        <v>0.9</v>
      </c>
      <c r="J13" s="4">
        <v>0.72</v>
      </c>
      <c r="K13" s="8">
        <f>SUM(D:D)</f>
        <v>891111</v>
      </c>
    </row>
    <row r="14" spans="1:11" ht="15.6" x14ac:dyDescent="0.3">
      <c r="A14" s="2">
        <v>44958</v>
      </c>
      <c r="B14" s="1" t="s">
        <v>6</v>
      </c>
      <c r="C14" s="3">
        <v>4000</v>
      </c>
      <c r="D14" s="1">
        <v>2000</v>
      </c>
      <c r="E14" s="3">
        <v>1428.5714285714287</v>
      </c>
      <c r="F14" s="1">
        <v>15</v>
      </c>
      <c r="G14" s="3" t="s">
        <v>1</v>
      </c>
      <c r="H14" s="4">
        <v>0.95</v>
      </c>
      <c r="I14" s="4">
        <v>0.97</v>
      </c>
      <c r="J14" s="4">
        <v>0.81</v>
      </c>
      <c r="K14" s="4"/>
    </row>
    <row r="15" spans="1:11" ht="15.6" x14ac:dyDescent="0.3">
      <c r="A15" s="2">
        <v>44958</v>
      </c>
      <c r="B15" s="1" t="s">
        <v>7</v>
      </c>
      <c r="C15" s="3">
        <v>10000</v>
      </c>
      <c r="D15" s="1">
        <v>2000</v>
      </c>
      <c r="E15" s="3">
        <v>1428.5714285714287</v>
      </c>
      <c r="F15" s="1">
        <v>20</v>
      </c>
      <c r="G15" s="3" t="s">
        <v>1</v>
      </c>
      <c r="H15" s="4">
        <v>0.99</v>
      </c>
      <c r="I15" s="4">
        <v>0.79</v>
      </c>
      <c r="J15" s="4">
        <v>0.75</v>
      </c>
      <c r="K15" s="4"/>
    </row>
    <row r="16" spans="1:11" ht="15.6" x14ac:dyDescent="0.3">
      <c r="A16" s="2">
        <v>44986</v>
      </c>
      <c r="B16" s="1" t="s">
        <v>0</v>
      </c>
      <c r="C16" s="3">
        <v>8571.4285714285706</v>
      </c>
      <c r="D16" s="3">
        <v>4000</v>
      </c>
      <c r="E16" s="3">
        <v>1428.5714285714287</v>
      </c>
      <c r="F16" s="1">
        <v>45</v>
      </c>
      <c r="G16" s="3" t="s">
        <v>1</v>
      </c>
      <c r="H16" s="4">
        <v>0.86</v>
      </c>
      <c r="I16" s="4">
        <v>0.97</v>
      </c>
      <c r="J16" s="4">
        <v>0.89</v>
      </c>
      <c r="K16" s="4" t="s">
        <v>37</v>
      </c>
    </row>
    <row r="17" spans="1:11" ht="15.6" x14ac:dyDescent="0.3">
      <c r="A17" s="2">
        <v>44986</v>
      </c>
      <c r="B17" s="1" t="s">
        <v>2</v>
      </c>
      <c r="C17" s="3">
        <v>8571.4285714285706</v>
      </c>
      <c r="D17" s="3">
        <v>6000</v>
      </c>
      <c r="E17" s="3">
        <v>1428.5714285714287</v>
      </c>
      <c r="F17" s="1">
        <v>43</v>
      </c>
      <c r="G17" s="3" t="s">
        <v>1</v>
      </c>
      <c r="H17" s="4">
        <v>0.83</v>
      </c>
      <c r="I17" s="4">
        <v>0.72</v>
      </c>
      <c r="J17" s="4">
        <v>0.74</v>
      </c>
      <c r="K17" s="7">
        <f>SUM(F:F)</f>
        <v>9360</v>
      </c>
    </row>
    <row r="18" spans="1:11" ht="15.6" x14ac:dyDescent="0.3">
      <c r="A18" s="2">
        <v>44986</v>
      </c>
      <c r="B18" s="1" t="s">
        <v>3</v>
      </c>
      <c r="C18" s="3">
        <v>8571.4285714285706</v>
      </c>
      <c r="D18" s="1">
        <v>6500</v>
      </c>
      <c r="E18" s="3">
        <v>1428.5714285714287</v>
      </c>
      <c r="F18" s="1">
        <v>43</v>
      </c>
      <c r="G18" s="3" t="s">
        <v>1</v>
      </c>
      <c r="H18" s="4">
        <v>0.74</v>
      </c>
      <c r="I18" s="4">
        <v>0.78</v>
      </c>
      <c r="J18" s="4">
        <v>0.94</v>
      </c>
      <c r="K18" s="4"/>
    </row>
    <row r="19" spans="1:11" ht="15.6" x14ac:dyDescent="0.3">
      <c r="A19" s="2">
        <v>44986</v>
      </c>
      <c r="B19" s="1" t="s">
        <v>4</v>
      </c>
      <c r="C19" s="3">
        <v>8571.4285714285706</v>
      </c>
      <c r="D19" s="1">
        <v>12000</v>
      </c>
      <c r="E19" s="3">
        <v>1428.5714285714287</v>
      </c>
      <c r="F19" s="1">
        <v>43</v>
      </c>
      <c r="G19" s="3" t="s">
        <v>1</v>
      </c>
      <c r="H19" s="4">
        <v>0.8</v>
      </c>
      <c r="I19" s="4">
        <v>0.84</v>
      </c>
      <c r="J19" s="4">
        <v>0.81</v>
      </c>
      <c r="K19" s="4"/>
    </row>
    <row r="20" spans="1:11" ht="15.6" x14ac:dyDescent="0.3">
      <c r="A20" s="2">
        <v>44986</v>
      </c>
      <c r="B20" s="1" t="s">
        <v>5</v>
      </c>
      <c r="C20" s="3">
        <v>8571.4285714285706</v>
      </c>
      <c r="D20" s="1">
        <v>3000</v>
      </c>
      <c r="E20" s="3">
        <v>1428.5714285714287</v>
      </c>
      <c r="F20" s="1">
        <v>43</v>
      </c>
      <c r="G20" s="3" t="s">
        <v>1</v>
      </c>
      <c r="H20" s="4">
        <v>0.89</v>
      </c>
      <c r="I20" s="4">
        <v>0.99</v>
      </c>
      <c r="J20" s="4">
        <v>0.97</v>
      </c>
      <c r="K20" s="4"/>
    </row>
    <row r="21" spans="1:11" ht="15.6" x14ac:dyDescent="0.3">
      <c r="A21" s="2">
        <v>44986</v>
      </c>
      <c r="B21" s="1" t="s">
        <v>6</v>
      </c>
      <c r="C21" s="3">
        <v>8571.4285714285706</v>
      </c>
      <c r="D21" s="1">
        <v>2000</v>
      </c>
      <c r="E21" s="3">
        <v>1428.5714285714287</v>
      </c>
      <c r="F21" s="1">
        <v>40</v>
      </c>
      <c r="G21" s="3" t="s">
        <v>1</v>
      </c>
      <c r="H21" s="4">
        <v>0.71</v>
      </c>
      <c r="I21" s="4">
        <v>0.87</v>
      </c>
      <c r="J21" s="4">
        <v>0.94</v>
      </c>
      <c r="K21" s="4"/>
    </row>
    <row r="22" spans="1:11" ht="15.6" x14ac:dyDescent="0.3">
      <c r="A22" s="2">
        <v>44986</v>
      </c>
      <c r="B22" s="1" t="s">
        <v>7</v>
      </c>
      <c r="C22" s="3">
        <v>8571.4285714285706</v>
      </c>
      <c r="D22" s="1">
        <v>2000</v>
      </c>
      <c r="E22" s="3">
        <v>1428.5714285714287</v>
      </c>
      <c r="F22" s="1">
        <v>43</v>
      </c>
      <c r="G22" s="3" t="s">
        <v>1</v>
      </c>
      <c r="H22" s="4">
        <v>0.9</v>
      </c>
      <c r="I22" s="4">
        <v>0.72</v>
      </c>
      <c r="J22" s="4">
        <v>0.94</v>
      </c>
      <c r="K22" s="4"/>
    </row>
    <row r="23" spans="1:11" ht="15.6" x14ac:dyDescent="0.3">
      <c r="A23" s="2">
        <v>45017</v>
      </c>
      <c r="B23" s="1" t="s">
        <v>0</v>
      </c>
      <c r="C23" s="3">
        <v>7857.1428571428569</v>
      </c>
      <c r="D23" s="3">
        <v>3000</v>
      </c>
      <c r="E23" s="3">
        <v>5714.2857142857147</v>
      </c>
      <c r="F23" s="1">
        <v>100</v>
      </c>
      <c r="G23" s="1" t="s">
        <v>8</v>
      </c>
      <c r="H23" s="4">
        <v>0.89</v>
      </c>
      <c r="I23" s="4">
        <v>0.85</v>
      </c>
      <c r="J23" s="4">
        <v>0.87</v>
      </c>
      <c r="K23" s="4"/>
    </row>
    <row r="24" spans="1:11" ht="15.6" x14ac:dyDescent="0.3">
      <c r="A24" s="2">
        <v>45017</v>
      </c>
      <c r="B24" s="1" t="s">
        <v>2</v>
      </c>
      <c r="C24" s="3">
        <v>7857.1428571428569</v>
      </c>
      <c r="D24" s="3">
        <v>4500</v>
      </c>
      <c r="E24" s="3">
        <v>5714.2857142857147</v>
      </c>
      <c r="F24" s="1">
        <v>100</v>
      </c>
      <c r="G24" s="1" t="s">
        <v>8</v>
      </c>
      <c r="H24" s="4">
        <v>0.89</v>
      </c>
      <c r="I24" s="4">
        <v>0.8</v>
      </c>
      <c r="J24" s="4">
        <v>0.88</v>
      </c>
      <c r="K24" s="4"/>
    </row>
    <row r="25" spans="1:11" ht="15.6" x14ac:dyDescent="0.3">
      <c r="A25" s="2">
        <v>45017</v>
      </c>
      <c r="B25" s="1" t="s">
        <v>3</v>
      </c>
      <c r="C25" s="3">
        <v>7857.1428571428569</v>
      </c>
      <c r="D25" s="1">
        <v>5500</v>
      </c>
      <c r="E25" s="3">
        <v>5714.2857142857147</v>
      </c>
      <c r="F25" s="1">
        <v>100</v>
      </c>
      <c r="G25" s="1" t="s">
        <v>8</v>
      </c>
      <c r="H25" s="4">
        <v>0.98</v>
      </c>
      <c r="I25" s="4">
        <v>0.99</v>
      </c>
      <c r="J25" s="4">
        <v>0.81</v>
      </c>
      <c r="K25" s="4"/>
    </row>
    <row r="26" spans="1:11" ht="15.6" x14ac:dyDescent="0.3">
      <c r="A26" s="2">
        <v>45017</v>
      </c>
      <c r="B26" s="1" t="s">
        <v>4</v>
      </c>
      <c r="C26" s="3">
        <v>7857.1428571428569</v>
      </c>
      <c r="D26" s="1">
        <v>10000</v>
      </c>
      <c r="E26" s="3">
        <v>5714.2857142857147</v>
      </c>
      <c r="F26" s="1">
        <v>100</v>
      </c>
      <c r="G26" s="1" t="s">
        <v>8</v>
      </c>
      <c r="H26" s="4">
        <v>0.81</v>
      </c>
      <c r="I26" s="4">
        <v>0.91</v>
      </c>
      <c r="J26" s="4">
        <v>0.95</v>
      </c>
      <c r="K26" s="4"/>
    </row>
    <row r="27" spans="1:11" ht="15.6" x14ac:dyDescent="0.3">
      <c r="A27" s="2">
        <v>45017</v>
      </c>
      <c r="B27" s="1" t="s">
        <v>5</v>
      </c>
      <c r="C27" s="3">
        <v>7857.1428571428569</v>
      </c>
      <c r="D27" s="1">
        <v>2000</v>
      </c>
      <c r="E27" s="3">
        <v>5714.2857142857147</v>
      </c>
      <c r="F27" s="1">
        <v>100</v>
      </c>
      <c r="G27" s="1" t="s">
        <v>8</v>
      </c>
      <c r="H27" s="4">
        <v>0.97</v>
      </c>
      <c r="I27" s="4">
        <v>0.85</v>
      </c>
      <c r="J27" s="4">
        <v>0.85</v>
      </c>
      <c r="K27" s="4"/>
    </row>
    <row r="28" spans="1:11" ht="15.6" x14ac:dyDescent="0.3">
      <c r="A28" s="2">
        <v>45017</v>
      </c>
      <c r="B28" s="1" t="s">
        <v>6</v>
      </c>
      <c r="C28" s="3">
        <v>7857.1428571428569</v>
      </c>
      <c r="D28" s="1">
        <v>2000</v>
      </c>
      <c r="E28" s="3">
        <v>5714.2857142857147</v>
      </c>
      <c r="F28" s="1">
        <v>100</v>
      </c>
      <c r="G28" s="1" t="s">
        <v>8</v>
      </c>
      <c r="H28" s="4">
        <v>0.89</v>
      </c>
      <c r="I28" s="4">
        <v>0.94</v>
      </c>
      <c r="J28" s="4">
        <v>0.8</v>
      </c>
      <c r="K28" s="4"/>
    </row>
    <row r="29" spans="1:11" ht="15.6" x14ac:dyDescent="0.3">
      <c r="A29" s="2">
        <v>45017</v>
      </c>
      <c r="B29" s="1" t="s">
        <v>7</v>
      </c>
      <c r="C29" s="3">
        <v>7857.1428571428569</v>
      </c>
      <c r="D29" s="1">
        <v>2000</v>
      </c>
      <c r="E29" s="3">
        <v>5714.2857142857147</v>
      </c>
      <c r="F29" s="1">
        <v>100</v>
      </c>
      <c r="G29" s="1" t="s">
        <v>8</v>
      </c>
      <c r="H29" s="4">
        <v>0.88</v>
      </c>
      <c r="I29" s="4">
        <v>0.94</v>
      </c>
      <c r="J29" s="4">
        <v>0.7</v>
      </c>
      <c r="K29" s="4"/>
    </row>
    <row r="30" spans="1:11" ht="15.6" x14ac:dyDescent="0.3">
      <c r="A30" s="2">
        <v>45047</v>
      </c>
      <c r="B30" s="1" t="s">
        <v>0</v>
      </c>
      <c r="C30" s="3">
        <v>11428.571428571429</v>
      </c>
      <c r="D30" s="3">
        <v>20000</v>
      </c>
      <c r="E30" s="3">
        <v>2857.1428571428573</v>
      </c>
      <c r="F30" s="1">
        <v>90</v>
      </c>
      <c r="G30" s="1" t="s">
        <v>8</v>
      </c>
      <c r="H30" s="4">
        <v>0.75</v>
      </c>
      <c r="I30" s="4">
        <v>0.77</v>
      </c>
      <c r="J30" s="4">
        <v>0.84</v>
      </c>
      <c r="K30" s="4"/>
    </row>
    <row r="31" spans="1:11" ht="15.6" x14ac:dyDescent="0.3">
      <c r="A31" s="2">
        <v>45047</v>
      </c>
      <c r="B31" s="1" t="s">
        <v>2</v>
      </c>
      <c r="C31" s="3">
        <v>11428.571428571429</v>
      </c>
      <c r="D31" s="3">
        <v>17000</v>
      </c>
      <c r="E31" s="3">
        <v>2857.1428571428573</v>
      </c>
      <c r="F31" s="1">
        <v>80</v>
      </c>
      <c r="G31" s="1" t="s">
        <v>8</v>
      </c>
      <c r="H31" s="4">
        <v>0.73</v>
      </c>
      <c r="I31" s="4">
        <v>0.96</v>
      </c>
      <c r="J31" s="4">
        <v>0.93</v>
      </c>
      <c r="K31" s="4"/>
    </row>
    <row r="32" spans="1:11" ht="15.6" x14ac:dyDescent="0.3">
      <c r="A32" s="2">
        <v>45047</v>
      </c>
      <c r="B32" s="1" t="s">
        <v>3</v>
      </c>
      <c r="C32" s="3">
        <v>11428.571428571429</v>
      </c>
      <c r="D32" s="1">
        <v>16000</v>
      </c>
      <c r="E32" s="3">
        <v>2857.1428571428573</v>
      </c>
      <c r="F32" s="1">
        <v>90</v>
      </c>
      <c r="G32" s="1" t="s">
        <v>8</v>
      </c>
      <c r="H32" s="4">
        <v>0.93</v>
      </c>
      <c r="I32" s="4">
        <v>0.74</v>
      </c>
      <c r="J32" s="4">
        <v>0.93</v>
      </c>
      <c r="K32" s="4"/>
    </row>
    <row r="33" spans="1:11" ht="15.6" x14ac:dyDescent="0.3">
      <c r="A33" s="2">
        <v>45047</v>
      </c>
      <c r="B33" s="1" t="s">
        <v>4</v>
      </c>
      <c r="C33" s="3">
        <v>11428.571428571429</v>
      </c>
      <c r="D33" s="1">
        <v>12000</v>
      </c>
      <c r="E33" s="3">
        <v>2857.1428571428573</v>
      </c>
      <c r="F33" s="1">
        <v>110</v>
      </c>
      <c r="G33" s="1" t="s">
        <v>8</v>
      </c>
      <c r="H33" s="4">
        <v>0.85</v>
      </c>
      <c r="I33" s="4">
        <v>0.7</v>
      </c>
      <c r="J33" s="4">
        <v>0.99</v>
      </c>
      <c r="K33" s="4"/>
    </row>
    <row r="34" spans="1:11" ht="15.6" x14ac:dyDescent="0.3">
      <c r="A34" s="2">
        <v>45047</v>
      </c>
      <c r="B34" s="1" t="s">
        <v>5</v>
      </c>
      <c r="C34" s="3">
        <v>11428.571428571429</v>
      </c>
      <c r="D34" s="1">
        <v>20500</v>
      </c>
      <c r="E34" s="3">
        <v>2857.1428571428573</v>
      </c>
      <c r="F34" s="1">
        <v>90</v>
      </c>
      <c r="G34" s="1" t="s">
        <v>8</v>
      </c>
      <c r="H34" s="4">
        <v>0.92</v>
      </c>
      <c r="I34" s="4">
        <v>0.99</v>
      </c>
      <c r="J34" s="4">
        <v>0.88</v>
      </c>
      <c r="K34" s="4"/>
    </row>
    <row r="35" spans="1:11" ht="15.6" x14ac:dyDescent="0.3">
      <c r="A35" s="2">
        <v>45047</v>
      </c>
      <c r="B35" s="1" t="s">
        <v>6</v>
      </c>
      <c r="C35" s="3">
        <v>11428.571428571429</v>
      </c>
      <c r="D35" s="1">
        <v>21000</v>
      </c>
      <c r="E35" s="3">
        <v>2857.1428571428573</v>
      </c>
      <c r="F35" s="1">
        <v>100</v>
      </c>
      <c r="G35" s="1" t="s">
        <v>8</v>
      </c>
      <c r="H35" s="4">
        <v>0.75</v>
      </c>
      <c r="I35" s="4">
        <v>0.97</v>
      </c>
      <c r="J35" s="4">
        <v>0.83</v>
      </c>
      <c r="K35" s="4"/>
    </row>
    <row r="36" spans="1:11" ht="15.6" x14ac:dyDescent="0.3">
      <c r="A36" s="2">
        <v>45047</v>
      </c>
      <c r="B36" s="1" t="s">
        <v>7</v>
      </c>
      <c r="C36" s="3">
        <v>11428.571428571429</v>
      </c>
      <c r="D36" s="1">
        <v>21500</v>
      </c>
      <c r="E36" s="3">
        <v>2857.1428571428573</v>
      </c>
      <c r="F36" s="1">
        <v>90</v>
      </c>
      <c r="G36" s="1" t="s">
        <v>8</v>
      </c>
      <c r="H36" s="4">
        <v>0.77</v>
      </c>
      <c r="I36" s="4">
        <v>0.97</v>
      </c>
      <c r="J36" s="4">
        <v>0.78</v>
      </c>
      <c r="K36" s="4"/>
    </row>
    <row r="37" spans="1:11" ht="15.6" x14ac:dyDescent="0.3">
      <c r="A37" s="2">
        <v>45078</v>
      </c>
      <c r="B37" s="1" t="s">
        <v>0</v>
      </c>
      <c r="C37" s="3">
        <v>14285.714285714286</v>
      </c>
      <c r="D37" s="3">
        <v>22000</v>
      </c>
      <c r="E37" s="3">
        <v>857.14285714285711</v>
      </c>
      <c r="F37" s="1">
        <v>228</v>
      </c>
      <c r="G37" s="1" t="s">
        <v>8</v>
      </c>
      <c r="H37" s="4">
        <v>0.79</v>
      </c>
      <c r="I37" s="4">
        <v>0.75</v>
      </c>
      <c r="J37" s="4">
        <v>0.93</v>
      </c>
      <c r="K37" s="4"/>
    </row>
    <row r="38" spans="1:11" ht="15.6" x14ac:dyDescent="0.3">
      <c r="A38" s="2">
        <v>45078</v>
      </c>
      <c r="B38" s="1" t="s">
        <v>2</v>
      </c>
      <c r="C38" s="3">
        <v>14285.714285714286</v>
      </c>
      <c r="D38" s="3">
        <v>18000</v>
      </c>
      <c r="E38" s="3">
        <v>857.14285714285711</v>
      </c>
      <c r="F38" s="1">
        <v>220</v>
      </c>
      <c r="G38" s="1" t="s">
        <v>8</v>
      </c>
      <c r="H38" s="4">
        <v>0.81</v>
      </c>
      <c r="I38" s="4">
        <v>0.98</v>
      </c>
      <c r="J38" s="4">
        <v>0.86</v>
      </c>
      <c r="K38" s="4"/>
    </row>
    <row r="39" spans="1:11" ht="15.6" x14ac:dyDescent="0.3">
      <c r="A39" s="2">
        <v>45078</v>
      </c>
      <c r="B39" s="1" t="s">
        <v>3</v>
      </c>
      <c r="C39" s="3">
        <v>14285.714285714286</v>
      </c>
      <c r="D39" s="1">
        <v>18500</v>
      </c>
      <c r="E39" s="3">
        <v>857.14285714285711</v>
      </c>
      <c r="F39" s="1">
        <v>228</v>
      </c>
      <c r="G39" s="1" t="s">
        <v>8</v>
      </c>
      <c r="H39" s="4">
        <v>0.86</v>
      </c>
      <c r="I39" s="4">
        <v>0.82</v>
      </c>
      <c r="J39" s="4">
        <v>0.86</v>
      </c>
      <c r="K39" s="4"/>
    </row>
    <row r="40" spans="1:11" ht="15.6" x14ac:dyDescent="0.3">
      <c r="A40" s="2">
        <v>45078</v>
      </c>
      <c r="B40" s="1" t="s">
        <v>4</v>
      </c>
      <c r="C40" s="3">
        <v>14285.714285714286</v>
      </c>
      <c r="D40" s="1">
        <v>14314</v>
      </c>
      <c r="E40" s="3">
        <v>857.14285714285711</v>
      </c>
      <c r="F40" s="1">
        <v>238</v>
      </c>
      <c r="G40" s="1" t="s">
        <v>8</v>
      </c>
      <c r="H40" s="4">
        <v>0.72</v>
      </c>
      <c r="I40" s="4">
        <v>0.95</v>
      </c>
      <c r="J40" s="4">
        <v>0.9</v>
      </c>
      <c r="K40" s="4"/>
    </row>
    <row r="41" spans="1:11" ht="15.6" x14ac:dyDescent="0.3">
      <c r="A41" s="2">
        <v>45078</v>
      </c>
      <c r="B41" s="1" t="s">
        <v>5</v>
      </c>
      <c r="C41" s="3">
        <v>14285.714285714286</v>
      </c>
      <c r="D41" s="1">
        <v>21000</v>
      </c>
      <c r="E41" s="3">
        <v>857.14285714285711</v>
      </c>
      <c r="F41" s="1">
        <v>228</v>
      </c>
      <c r="G41" s="1" t="s">
        <v>8</v>
      </c>
      <c r="H41" s="4">
        <v>0.71</v>
      </c>
      <c r="I41" s="4">
        <v>0.8</v>
      </c>
      <c r="J41" s="4">
        <v>0.76</v>
      </c>
      <c r="K41" s="4"/>
    </row>
    <row r="42" spans="1:11" ht="15.6" x14ac:dyDescent="0.3">
      <c r="A42" s="2">
        <v>45078</v>
      </c>
      <c r="B42" s="1" t="s">
        <v>6</v>
      </c>
      <c r="C42" s="3">
        <v>14285.714285714286</v>
      </c>
      <c r="D42" s="1">
        <v>22500</v>
      </c>
      <c r="E42" s="3">
        <v>857.14285714285711</v>
      </c>
      <c r="F42" s="1">
        <v>230</v>
      </c>
      <c r="G42" s="1" t="s">
        <v>8</v>
      </c>
      <c r="H42" s="4">
        <v>0.97</v>
      </c>
      <c r="I42" s="4">
        <v>0.95</v>
      </c>
      <c r="J42" s="4">
        <v>0.85</v>
      </c>
      <c r="K42" s="4"/>
    </row>
    <row r="43" spans="1:11" ht="15.6" x14ac:dyDescent="0.3">
      <c r="A43" s="2">
        <v>45078</v>
      </c>
      <c r="B43" s="1" t="s">
        <v>7</v>
      </c>
      <c r="C43" s="3">
        <v>14285.714285714286</v>
      </c>
      <c r="D43" s="1">
        <v>22900</v>
      </c>
      <c r="E43" s="3">
        <v>857.14285714285711</v>
      </c>
      <c r="F43" s="1">
        <v>228</v>
      </c>
      <c r="G43" s="1" t="s">
        <v>8</v>
      </c>
      <c r="H43" s="4">
        <v>0.95</v>
      </c>
      <c r="I43" s="4">
        <v>0.85</v>
      </c>
      <c r="J43" s="4">
        <v>0.91</v>
      </c>
      <c r="K43" s="4"/>
    </row>
    <row r="44" spans="1:11" ht="15.6" x14ac:dyDescent="0.3">
      <c r="A44" s="2">
        <v>45108</v>
      </c>
      <c r="B44" s="1" t="s">
        <v>0</v>
      </c>
      <c r="C44" s="3">
        <v>18562.957142857143</v>
      </c>
      <c r="D44" s="3">
        <v>25000</v>
      </c>
      <c r="E44" s="3">
        <v>714.28571428571433</v>
      </c>
      <c r="F44" s="1">
        <v>250</v>
      </c>
      <c r="G44" s="1" t="s">
        <v>9</v>
      </c>
      <c r="H44" s="4">
        <v>0.97</v>
      </c>
      <c r="I44" s="4">
        <v>0.7</v>
      </c>
      <c r="J44" s="4">
        <v>0.93</v>
      </c>
      <c r="K44" s="4"/>
    </row>
    <row r="45" spans="1:11" ht="15.6" x14ac:dyDescent="0.3">
      <c r="A45" s="2">
        <v>45108</v>
      </c>
      <c r="B45" s="1" t="s">
        <v>2</v>
      </c>
      <c r="C45" s="3">
        <v>18562.957142857143</v>
      </c>
      <c r="D45" s="3">
        <v>22000</v>
      </c>
      <c r="E45" s="3">
        <v>714.28571428571433</v>
      </c>
      <c r="F45" s="1">
        <v>240</v>
      </c>
      <c r="G45" s="1" t="s">
        <v>9</v>
      </c>
      <c r="H45" s="4">
        <v>0.9</v>
      </c>
      <c r="I45" s="4">
        <v>0.98</v>
      </c>
      <c r="J45" s="4">
        <v>0.96</v>
      </c>
      <c r="K45" s="4"/>
    </row>
    <row r="46" spans="1:11" ht="15.6" x14ac:dyDescent="0.3">
      <c r="A46" s="2">
        <v>45108</v>
      </c>
      <c r="B46" s="1" t="s">
        <v>3</v>
      </c>
      <c r="C46" s="3">
        <v>18562.957142857143</v>
      </c>
      <c r="D46" s="1">
        <v>25000</v>
      </c>
      <c r="E46" s="3">
        <v>714.28571428571433</v>
      </c>
      <c r="F46" s="1">
        <v>270</v>
      </c>
      <c r="G46" s="1" t="s">
        <v>9</v>
      </c>
      <c r="H46" s="4">
        <v>0.9</v>
      </c>
      <c r="I46" s="4">
        <v>0.95</v>
      </c>
      <c r="J46" s="4">
        <v>0.98</v>
      </c>
      <c r="K46" s="4"/>
    </row>
    <row r="47" spans="1:11" ht="15.6" x14ac:dyDescent="0.3">
      <c r="A47" s="2">
        <v>45108</v>
      </c>
      <c r="B47" s="1" t="s">
        <v>4</v>
      </c>
      <c r="C47" s="3">
        <v>18562.957142857143</v>
      </c>
      <c r="D47" s="1">
        <v>25000</v>
      </c>
      <c r="E47" s="3">
        <v>714.28571428571433</v>
      </c>
      <c r="F47" s="1">
        <v>259</v>
      </c>
      <c r="G47" s="1" t="s">
        <v>9</v>
      </c>
      <c r="H47" s="4">
        <v>0.96</v>
      </c>
      <c r="I47" s="4">
        <v>0.81</v>
      </c>
      <c r="J47" s="4">
        <v>0.85</v>
      </c>
      <c r="K47" s="4"/>
    </row>
    <row r="48" spans="1:11" ht="15.6" x14ac:dyDescent="0.3">
      <c r="A48" s="2">
        <v>45108</v>
      </c>
      <c r="B48" s="1" t="s">
        <v>5</v>
      </c>
      <c r="C48" s="3">
        <v>18562.957142857143</v>
      </c>
      <c r="D48" s="1">
        <v>25000</v>
      </c>
      <c r="E48" s="3">
        <v>714.28571428571433</v>
      </c>
      <c r="F48" s="1">
        <v>260</v>
      </c>
      <c r="G48" s="1" t="s">
        <v>9</v>
      </c>
      <c r="H48" s="4">
        <v>0.98</v>
      </c>
      <c r="I48" s="4">
        <v>0.84</v>
      </c>
      <c r="J48" s="4">
        <v>0.89</v>
      </c>
      <c r="K48" s="4"/>
    </row>
    <row r="49" spans="1:11" ht="15.6" x14ac:dyDescent="0.3">
      <c r="A49" s="2">
        <v>45108</v>
      </c>
      <c r="B49" s="1" t="s">
        <v>6</v>
      </c>
      <c r="C49" s="3">
        <v>18562.957142857143</v>
      </c>
      <c r="D49" s="1">
        <v>25000</v>
      </c>
      <c r="E49" s="3">
        <v>714.28571428571433</v>
      </c>
      <c r="F49" s="1">
        <v>260</v>
      </c>
      <c r="G49" s="1" t="s">
        <v>9</v>
      </c>
      <c r="H49" s="4">
        <v>0.76</v>
      </c>
      <c r="I49" s="4">
        <v>0.7</v>
      </c>
      <c r="J49" s="4">
        <v>0.86</v>
      </c>
      <c r="K49" s="4"/>
    </row>
    <row r="50" spans="1:11" ht="15.6" x14ac:dyDescent="0.3">
      <c r="A50" s="2">
        <v>45108</v>
      </c>
      <c r="B50" s="1" t="s">
        <v>7</v>
      </c>
      <c r="C50" s="3">
        <v>18562.957142857143</v>
      </c>
      <c r="D50" s="1">
        <v>25000</v>
      </c>
      <c r="E50" s="3">
        <v>714.28571428571433</v>
      </c>
      <c r="F50" s="1">
        <v>261</v>
      </c>
      <c r="G50" s="1" t="s">
        <v>9</v>
      </c>
      <c r="H50" s="4">
        <v>0.91</v>
      </c>
      <c r="I50" s="4">
        <v>0.77</v>
      </c>
      <c r="J50" s="4">
        <v>0.75</v>
      </c>
      <c r="K50" s="4"/>
    </row>
    <row r="51" spans="1:11" ht="15.6" x14ac:dyDescent="0.3">
      <c r="A51" s="2">
        <v>45139</v>
      </c>
      <c r="B51" s="1" t="s">
        <v>0</v>
      </c>
      <c r="C51" s="3">
        <v>18571.428571428572</v>
      </c>
      <c r="D51" s="3">
        <v>25000</v>
      </c>
      <c r="E51" s="3">
        <v>714.28571428571433</v>
      </c>
      <c r="F51" s="1">
        <v>242</v>
      </c>
      <c r="G51" s="1" t="s">
        <v>9</v>
      </c>
      <c r="H51" s="4">
        <v>0.79</v>
      </c>
      <c r="I51" s="4">
        <v>0.81</v>
      </c>
      <c r="J51" s="4">
        <v>0.74</v>
      </c>
      <c r="K51" s="4"/>
    </row>
    <row r="52" spans="1:11" ht="15.6" x14ac:dyDescent="0.3">
      <c r="A52" s="2">
        <v>45139</v>
      </c>
      <c r="B52" s="1" t="s">
        <v>2</v>
      </c>
      <c r="C52" s="3">
        <v>18571.428571428572</v>
      </c>
      <c r="D52" s="3">
        <v>22500</v>
      </c>
      <c r="E52" s="3">
        <v>714.28571428571433</v>
      </c>
      <c r="F52" s="1">
        <v>250</v>
      </c>
      <c r="G52" s="1" t="s">
        <v>9</v>
      </c>
      <c r="H52" s="4">
        <v>0.85</v>
      </c>
      <c r="I52" s="4">
        <v>0.82</v>
      </c>
      <c r="J52" s="4">
        <v>0.73</v>
      </c>
      <c r="K52" s="4"/>
    </row>
    <row r="53" spans="1:11" ht="15.6" x14ac:dyDescent="0.3">
      <c r="A53" s="2">
        <v>45139</v>
      </c>
      <c r="B53" s="1" t="s">
        <v>3</v>
      </c>
      <c r="C53" s="3">
        <v>18571.428571428572</v>
      </c>
      <c r="D53" s="1">
        <v>25000</v>
      </c>
      <c r="E53" s="3">
        <v>714.28571428571433</v>
      </c>
      <c r="F53" s="1">
        <v>242</v>
      </c>
      <c r="G53" s="1" t="s">
        <v>9</v>
      </c>
      <c r="H53" s="4">
        <v>0.88</v>
      </c>
      <c r="I53" s="4">
        <v>0.84</v>
      </c>
      <c r="J53" s="4">
        <v>0.75</v>
      </c>
      <c r="K53" s="4"/>
    </row>
    <row r="54" spans="1:11" ht="15.6" x14ac:dyDescent="0.3">
      <c r="A54" s="2">
        <v>45139</v>
      </c>
      <c r="B54" s="1" t="s">
        <v>4</v>
      </c>
      <c r="C54" s="3">
        <v>18571.428571428572</v>
      </c>
      <c r="D54" s="1">
        <v>25000</v>
      </c>
      <c r="E54" s="3">
        <v>714.28571428571433</v>
      </c>
      <c r="F54" s="1">
        <v>242</v>
      </c>
      <c r="G54" s="1" t="s">
        <v>9</v>
      </c>
      <c r="H54" s="4">
        <v>0.81</v>
      </c>
      <c r="I54" s="4">
        <v>0.92</v>
      </c>
      <c r="J54" s="4">
        <v>0.91</v>
      </c>
      <c r="K54" s="4"/>
    </row>
    <row r="55" spans="1:11" ht="15.6" x14ac:dyDescent="0.3">
      <c r="A55" s="2">
        <v>45139</v>
      </c>
      <c r="B55" s="1" t="s">
        <v>5</v>
      </c>
      <c r="C55" s="3">
        <v>18571.428571428572</v>
      </c>
      <c r="D55" s="1">
        <v>25000</v>
      </c>
      <c r="E55" s="3">
        <v>714.28571428571433</v>
      </c>
      <c r="F55" s="1">
        <v>242</v>
      </c>
      <c r="G55" s="1" t="s">
        <v>9</v>
      </c>
      <c r="H55" s="4">
        <v>0.84</v>
      </c>
      <c r="I55" s="4">
        <v>0.73</v>
      </c>
      <c r="J55" s="4">
        <v>0.99</v>
      </c>
      <c r="K55" s="4"/>
    </row>
    <row r="56" spans="1:11" ht="15.6" x14ac:dyDescent="0.3">
      <c r="A56" s="2">
        <v>45139</v>
      </c>
      <c r="B56" s="1" t="s">
        <v>6</v>
      </c>
      <c r="C56" s="3">
        <v>18571.428571428572</v>
      </c>
      <c r="D56" s="1">
        <v>25000</v>
      </c>
      <c r="E56" s="3">
        <v>714.28571428571433</v>
      </c>
      <c r="F56" s="1">
        <v>240</v>
      </c>
      <c r="G56" s="1" t="s">
        <v>9</v>
      </c>
      <c r="H56" s="4">
        <v>0.93</v>
      </c>
      <c r="I56" s="4">
        <v>0.79</v>
      </c>
      <c r="J56" s="4">
        <v>0.72</v>
      </c>
      <c r="K56" s="4"/>
    </row>
    <row r="57" spans="1:11" ht="15.6" x14ac:dyDescent="0.3">
      <c r="A57" s="2">
        <v>45139</v>
      </c>
      <c r="B57" s="1" t="s">
        <v>7</v>
      </c>
      <c r="C57" s="3">
        <v>18571.428571428572</v>
      </c>
      <c r="D57" s="1">
        <v>25000</v>
      </c>
      <c r="E57" s="3">
        <v>714.28571428571433</v>
      </c>
      <c r="F57" s="1">
        <v>242</v>
      </c>
      <c r="G57" s="1" t="s">
        <v>9</v>
      </c>
      <c r="H57" s="4">
        <v>0.84</v>
      </c>
      <c r="I57" s="4">
        <v>0.79</v>
      </c>
      <c r="J57" s="4">
        <v>0.8</v>
      </c>
      <c r="K57" s="4"/>
    </row>
    <row r="58" spans="1:11" ht="15.6" x14ac:dyDescent="0.3">
      <c r="A58" s="2">
        <v>45170</v>
      </c>
      <c r="B58" s="1" t="s">
        <v>0</v>
      </c>
      <c r="C58" s="3">
        <v>17857.142857142859</v>
      </c>
      <c r="D58" s="3">
        <v>22500</v>
      </c>
      <c r="E58" s="3">
        <v>285.71428571428572</v>
      </c>
      <c r="F58" s="1">
        <v>285</v>
      </c>
      <c r="G58" s="1" t="s">
        <v>9</v>
      </c>
      <c r="H58" s="4">
        <v>0.85</v>
      </c>
      <c r="I58" s="4">
        <v>0.91</v>
      </c>
      <c r="J58" s="4">
        <v>0.84</v>
      </c>
      <c r="K58" s="4"/>
    </row>
    <row r="59" spans="1:11" ht="15.6" x14ac:dyDescent="0.3">
      <c r="A59" s="2">
        <v>45170</v>
      </c>
      <c r="B59" s="1" t="s">
        <v>2</v>
      </c>
      <c r="C59" s="3">
        <v>17857.142857142859</v>
      </c>
      <c r="D59" s="3">
        <v>21500</v>
      </c>
      <c r="E59" s="3">
        <v>285.71428571428572</v>
      </c>
      <c r="F59" s="1">
        <v>275</v>
      </c>
      <c r="G59" s="1" t="s">
        <v>9</v>
      </c>
      <c r="H59" s="4">
        <v>0.86</v>
      </c>
      <c r="I59" s="4">
        <v>0.75</v>
      </c>
      <c r="J59" s="4">
        <v>0.96</v>
      </c>
      <c r="K59" s="4"/>
    </row>
    <row r="60" spans="1:11" ht="15.6" x14ac:dyDescent="0.3">
      <c r="A60" s="2">
        <v>45170</v>
      </c>
      <c r="B60" s="1" t="s">
        <v>3</v>
      </c>
      <c r="C60" s="3">
        <v>17857.142857142859</v>
      </c>
      <c r="D60" s="1">
        <v>24000</v>
      </c>
      <c r="E60" s="3">
        <v>285.71428571428572</v>
      </c>
      <c r="F60" s="1">
        <v>285</v>
      </c>
      <c r="G60" s="1" t="s">
        <v>9</v>
      </c>
      <c r="H60" s="4">
        <v>0.96</v>
      </c>
      <c r="I60" s="4">
        <v>0.77</v>
      </c>
      <c r="J60" s="4">
        <v>0.92</v>
      </c>
      <c r="K60" s="4"/>
    </row>
    <row r="61" spans="1:11" ht="15.6" x14ac:dyDescent="0.3">
      <c r="A61" s="2">
        <v>45170</v>
      </c>
      <c r="B61" s="1" t="s">
        <v>4</v>
      </c>
      <c r="C61" s="3">
        <v>17857.142857142859</v>
      </c>
      <c r="D61" s="1">
        <v>24500</v>
      </c>
      <c r="E61" s="3">
        <v>285.71428571428572</v>
      </c>
      <c r="F61" s="1">
        <v>290</v>
      </c>
      <c r="G61" s="1" t="s">
        <v>9</v>
      </c>
      <c r="H61" s="4">
        <v>0.99</v>
      </c>
      <c r="I61" s="4">
        <v>0.97</v>
      </c>
      <c r="J61" s="4">
        <v>0.73</v>
      </c>
      <c r="K61" s="4"/>
    </row>
    <row r="62" spans="1:11" ht="15.6" x14ac:dyDescent="0.3">
      <c r="A62" s="2">
        <v>45170</v>
      </c>
      <c r="B62" s="1" t="s">
        <v>5</v>
      </c>
      <c r="C62" s="3">
        <v>17857.142857142859</v>
      </c>
      <c r="D62" s="1">
        <v>24500</v>
      </c>
      <c r="E62" s="3">
        <v>285.71428571428572</v>
      </c>
      <c r="F62" s="1">
        <v>310</v>
      </c>
      <c r="G62" s="1" t="s">
        <v>9</v>
      </c>
      <c r="H62" s="4">
        <v>0.77</v>
      </c>
      <c r="I62" s="4">
        <v>0.72</v>
      </c>
      <c r="J62" s="4">
        <v>0.85</v>
      </c>
      <c r="K62" s="4"/>
    </row>
    <row r="63" spans="1:11" ht="15.6" x14ac:dyDescent="0.3">
      <c r="A63" s="2">
        <v>45170</v>
      </c>
      <c r="B63" s="1" t="s">
        <v>6</v>
      </c>
      <c r="C63" s="3">
        <v>17857.142857142859</v>
      </c>
      <c r="D63" s="1">
        <v>24500</v>
      </c>
      <c r="E63" s="3">
        <v>285.71428571428572</v>
      </c>
      <c r="F63" s="1">
        <v>270</v>
      </c>
      <c r="G63" s="1" t="s">
        <v>9</v>
      </c>
      <c r="H63" s="4">
        <v>0.77</v>
      </c>
      <c r="I63" s="4">
        <v>0.96</v>
      </c>
      <c r="J63" s="4">
        <v>0.78</v>
      </c>
      <c r="K63" s="4"/>
    </row>
    <row r="64" spans="1:11" ht="15.6" x14ac:dyDescent="0.3">
      <c r="A64" s="2">
        <v>45170</v>
      </c>
      <c r="B64" s="1" t="s">
        <v>7</v>
      </c>
      <c r="C64" s="3">
        <v>17857.142857142859</v>
      </c>
      <c r="D64" s="1">
        <v>24500</v>
      </c>
      <c r="E64" s="3">
        <v>285.71428571428572</v>
      </c>
      <c r="F64" s="1">
        <v>285</v>
      </c>
      <c r="G64" s="1" t="s">
        <v>9</v>
      </c>
      <c r="H64" s="4">
        <v>0.78</v>
      </c>
      <c r="I64" s="4">
        <v>0.8</v>
      </c>
      <c r="J64" s="4">
        <v>0.85</v>
      </c>
      <c r="K64"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821C5-E747-4971-B9BA-0892D7C2773E}">
  <dimension ref="A1:B11"/>
  <sheetViews>
    <sheetView workbookViewId="0">
      <selection activeCell="J5" sqref="J5"/>
    </sheetView>
  </sheetViews>
  <sheetFormatPr defaultRowHeight="14.4" x14ac:dyDescent="0.3"/>
  <cols>
    <col min="1" max="1" width="12.44140625" bestFit="1" customWidth="1"/>
    <col min="2" max="2" width="11.5546875" bestFit="1" customWidth="1"/>
  </cols>
  <sheetData>
    <row r="1" spans="1:2" x14ac:dyDescent="0.3">
      <c r="A1" s="5" t="s">
        <v>21</v>
      </c>
      <c r="B1" t="s">
        <v>20</v>
      </c>
    </row>
    <row r="2" spans="1:2" x14ac:dyDescent="0.3">
      <c r="A2" s="6" t="s">
        <v>23</v>
      </c>
      <c r="B2">
        <v>30000</v>
      </c>
    </row>
    <row r="3" spans="1:2" x14ac:dyDescent="0.3">
      <c r="A3" s="6" t="s">
        <v>24</v>
      </c>
      <c r="B3">
        <v>45000</v>
      </c>
    </row>
    <row r="4" spans="1:2" x14ac:dyDescent="0.3">
      <c r="A4" s="6" t="s">
        <v>25</v>
      </c>
      <c r="B4">
        <v>60000</v>
      </c>
    </row>
    <row r="5" spans="1:2" x14ac:dyDescent="0.3">
      <c r="A5" s="6" t="s">
        <v>26</v>
      </c>
      <c r="B5">
        <v>54999.999999999993</v>
      </c>
    </row>
    <row r="6" spans="1:2" x14ac:dyDescent="0.3">
      <c r="A6" s="6" t="s">
        <v>27</v>
      </c>
      <c r="B6">
        <v>80000.000000000015</v>
      </c>
    </row>
    <row r="7" spans="1:2" x14ac:dyDescent="0.3">
      <c r="A7" s="6" t="s">
        <v>28</v>
      </c>
      <c r="B7">
        <v>100000.00000000001</v>
      </c>
    </row>
    <row r="8" spans="1:2" x14ac:dyDescent="0.3">
      <c r="A8" s="6" t="s">
        <v>29</v>
      </c>
      <c r="B8">
        <v>129940.69999999998</v>
      </c>
    </row>
    <row r="9" spans="1:2" x14ac:dyDescent="0.3">
      <c r="A9" s="6" t="s">
        <v>30</v>
      </c>
      <c r="B9">
        <v>130000.00000000003</v>
      </c>
    </row>
    <row r="10" spans="1:2" x14ac:dyDescent="0.3">
      <c r="A10" s="6" t="s">
        <v>31</v>
      </c>
      <c r="B10">
        <v>125000</v>
      </c>
    </row>
    <row r="11" spans="1:2" x14ac:dyDescent="0.3">
      <c r="A11" s="6" t="s">
        <v>22</v>
      </c>
      <c r="B11">
        <v>754940.69999999937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9AC3-6AB1-4553-9DFC-D2D793E28EBC}">
  <dimension ref="A2:B12"/>
  <sheetViews>
    <sheetView workbookViewId="0">
      <selection activeCell="J3" sqref="J3"/>
    </sheetView>
  </sheetViews>
  <sheetFormatPr defaultRowHeight="14.4" x14ac:dyDescent="0.3"/>
  <cols>
    <col min="1" max="1" width="12.44140625" bestFit="1" customWidth="1"/>
    <col min="2" max="2" width="16.109375" bestFit="1" customWidth="1"/>
  </cols>
  <sheetData>
    <row r="2" spans="1:2" x14ac:dyDescent="0.3">
      <c r="A2" s="5" t="s">
        <v>21</v>
      </c>
      <c r="B2" t="s">
        <v>32</v>
      </c>
    </row>
    <row r="3" spans="1:2" x14ac:dyDescent="0.3">
      <c r="A3" s="6" t="s">
        <v>23</v>
      </c>
      <c r="B3">
        <v>300</v>
      </c>
    </row>
    <row r="4" spans="1:2" x14ac:dyDescent="0.3">
      <c r="A4" s="6" t="s">
        <v>24</v>
      </c>
      <c r="B4">
        <v>310</v>
      </c>
    </row>
    <row r="5" spans="1:2" x14ac:dyDescent="0.3">
      <c r="A5" s="6" t="s">
        <v>25</v>
      </c>
      <c r="B5">
        <v>300</v>
      </c>
    </row>
    <row r="6" spans="1:2" x14ac:dyDescent="0.3">
      <c r="A6" s="6" t="s">
        <v>26</v>
      </c>
      <c r="B6">
        <v>700</v>
      </c>
    </row>
    <row r="7" spans="1:2" x14ac:dyDescent="0.3">
      <c r="A7" s="6" t="s">
        <v>27</v>
      </c>
      <c r="B7">
        <v>650</v>
      </c>
    </row>
    <row r="8" spans="1:2" x14ac:dyDescent="0.3">
      <c r="A8" s="6" t="s">
        <v>28</v>
      </c>
      <c r="B8">
        <v>1600</v>
      </c>
    </row>
    <row r="9" spans="1:2" x14ac:dyDescent="0.3">
      <c r="A9" s="6" t="s">
        <v>29</v>
      </c>
      <c r="B9">
        <v>1800</v>
      </c>
    </row>
    <row r="10" spans="1:2" x14ac:dyDescent="0.3">
      <c r="A10" s="6" t="s">
        <v>30</v>
      </c>
      <c r="B10">
        <v>1700</v>
      </c>
    </row>
    <row r="11" spans="1:2" x14ac:dyDescent="0.3">
      <c r="A11" s="6" t="s">
        <v>31</v>
      </c>
      <c r="B11">
        <v>2000</v>
      </c>
    </row>
    <row r="12" spans="1:2" x14ac:dyDescent="0.3">
      <c r="A12" s="6" t="s">
        <v>22</v>
      </c>
      <c r="B12">
        <v>9360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04B1F-1A4D-459D-B1CE-387D5C301BE3}">
  <dimension ref="A2:B7"/>
  <sheetViews>
    <sheetView workbookViewId="0">
      <selection activeCell="O7" sqref="O7"/>
    </sheetView>
  </sheetViews>
  <sheetFormatPr defaultRowHeight="14.4" x14ac:dyDescent="0.3"/>
  <cols>
    <col min="1" max="1" width="12.44140625" bestFit="1" customWidth="1"/>
    <col min="2" max="2" width="11.5546875" bestFit="1" customWidth="1"/>
    <col min="3" max="3" width="7" bestFit="1" customWidth="1"/>
    <col min="4" max="4" width="7.77734375" bestFit="1" customWidth="1"/>
    <col min="5" max="5" width="7" bestFit="1" customWidth="1"/>
    <col min="6" max="6" width="9.109375" bestFit="1" customWidth="1"/>
    <col min="7" max="7" width="10.5546875" bestFit="1" customWidth="1"/>
    <col min="8" max="8" width="7" bestFit="1" customWidth="1"/>
    <col min="9" max="9" width="10.5546875" bestFit="1" customWidth="1"/>
    <col min="10" max="16" width="6" bestFit="1" customWidth="1"/>
    <col min="17" max="17" width="7" bestFit="1" customWidth="1"/>
    <col min="18" max="26" width="6" bestFit="1" customWidth="1"/>
    <col min="27" max="27" width="10.5546875" bestFit="1" customWidth="1"/>
  </cols>
  <sheetData>
    <row r="2" spans="1:2" x14ac:dyDescent="0.3">
      <c r="A2" s="5" t="s">
        <v>21</v>
      </c>
      <c r="B2" t="s">
        <v>33</v>
      </c>
    </row>
    <row r="3" spans="1:2" x14ac:dyDescent="0.3">
      <c r="A3" s="6" t="s">
        <v>2</v>
      </c>
      <c r="B3">
        <v>129875</v>
      </c>
    </row>
    <row r="4" spans="1:2" x14ac:dyDescent="0.3">
      <c r="A4" s="6" t="s">
        <v>3</v>
      </c>
      <c r="B4">
        <v>126793</v>
      </c>
    </row>
    <row r="5" spans="1:2" x14ac:dyDescent="0.3">
      <c r="A5" s="6" t="s">
        <v>4</v>
      </c>
      <c r="B5">
        <v>128833</v>
      </c>
    </row>
    <row r="6" spans="1:2" x14ac:dyDescent="0.3">
      <c r="A6" s="6" t="s">
        <v>5</v>
      </c>
      <c r="B6">
        <v>125980</v>
      </c>
    </row>
    <row r="7" spans="1:2" x14ac:dyDescent="0.3">
      <c r="A7" s="6" t="s">
        <v>22</v>
      </c>
      <c r="B7">
        <v>511481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9501F-5702-4C04-A00A-54CA69DCA942}">
  <dimension ref="A1:B5"/>
  <sheetViews>
    <sheetView workbookViewId="0">
      <selection activeCell="J26" sqref="J26"/>
    </sheetView>
  </sheetViews>
  <sheetFormatPr defaultRowHeight="14.4" x14ac:dyDescent="0.3"/>
  <cols>
    <col min="1" max="1" width="12.44140625" bestFit="1" customWidth="1"/>
    <col min="2" max="2" width="11.5546875" bestFit="1" customWidth="1"/>
  </cols>
  <sheetData>
    <row r="1" spans="1:2" x14ac:dyDescent="0.3">
      <c r="A1" s="5" t="s">
        <v>21</v>
      </c>
      <c r="B1" t="s">
        <v>33</v>
      </c>
    </row>
    <row r="2" spans="1:2" x14ac:dyDescent="0.3">
      <c r="A2" s="6" t="s">
        <v>1</v>
      </c>
      <c r="B2">
        <v>84397</v>
      </c>
    </row>
    <row r="3" spans="1:2" x14ac:dyDescent="0.3">
      <c r="A3" s="6" t="s">
        <v>8</v>
      </c>
      <c r="B3">
        <v>296214</v>
      </c>
    </row>
    <row r="4" spans="1:2" x14ac:dyDescent="0.3">
      <c r="A4" s="6" t="s">
        <v>9</v>
      </c>
      <c r="B4">
        <v>510500</v>
      </c>
    </row>
    <row r="5" spans="1:2" x14ac:dyDescent="0.3">
      <c r="A5" s="6" t="s">
        <v>22</v>
      </c>
      <c r="B5">
        <v>891111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A806-3E06-43D1-A862-4A71CD9A64E1}">
  <sheetPr>
    <tabColor theme="1"/>
  </sheetPr>
  <dimension ref="A1"/>
  <sheetViews>
    <sheetView showGridLines="0" showRowColHeaders="0" tabSelected="1" topLeftCell="Y4" zoomScale="55" zoomScaleNormal="55" workbookViewId="0">
      <selection activeCell="BN33" sqref="BN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DB109-A408-491C-98A7-B3BABBC16DB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sales per month</vt:lpstr>
      <vt:lpstr>customer per month</vt:lpstr>
      <vt:lpstr>profit per region</vt:lpstr>
      <vt:lpstr>Profit per quarter</vt:lpstr>
      <vt:lpstr>dashboard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42022008</dc:creator>
  <cp:lastModifiedBy>42022008</cp:lastModifiedBy>
  <dcterms:created xsi:type="dcterms:W3CDTF">2025-02-23T17:38:35Z</dcterms:created>
  <dcterms:modified xsi:type="dcterms:W3CDTF">2025-03-02T21:31:39Z</dcterms:modified>
</cp:coreProperties>
</file>